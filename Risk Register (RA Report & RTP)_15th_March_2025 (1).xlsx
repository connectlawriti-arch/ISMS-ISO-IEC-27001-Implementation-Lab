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codeName="ThisWorkbook" showPivotChartFilter="1" defaultThemeVersion="124226"/>
  <mc:AlternateContent xmlns:mc="http://schemas.openxmlformats.org/markup-compatibility/2006">
    <mc:Choice Requires="x15">
      <x15ac:absPath xmlns:x15ac="http://schemas.microsoft.com/office/spreadsheetml/2010/11/ac" url="/Users/rtomar/Desktop/"/>
    </mc:Choice>
  </mc:AlternateContent>
  <xr:revisionPtr revIDLastSave="0" documentId="13_ncr:1_{3371655E-FB75-F443-93D9-FC4461A3A02A}" xr6:coauthVersionLast="47" xr6:coauthVersionMax="47" xr10:uidLastSave="{00000000-0000-0000-0000-000000000000}"/>
  <bookViews>
    <workbookView xWindow="0" yWindow="660" windowWidth="29400" windowHeight="18460" tabRatio="833" activeTab="6" xr2:uid="{5B63D85D-BA3F-4216-993C-405CE4474F50}"/>
  </bookViews>
  <sheets>
    <sheet name="Cover Page" sheetId="47" r:id="rId1"/>
    <sheet name="INDEX" sheetId="46" r:id="rId2"/>
    <sheet name="Summary" sheetId="49" r:id="rId3"/>
    <sheet name="Asset register" sheetId="48" r:id="rId4"/>
    <sheet name="HR Asset" sheetId="25" r:id="rId5"/>
    <sheet name="IT Assets" sheetId="44" r:id="rId6"/>
    <sheet name="Software Assets" sheetId="45" r:id="rId7"/>
    <sheet name="Process (Service) Assets" sheetId="42" r:id="rId8"/>
    <sheet name="RTP" sheetId="43" r:id="rId9"/>
    <sheet name="Projector" sheetId="5" state="hidden" r:id="rId10"/>
  </sheets>
  <externalReferences>
    <externalReference r:id="rId11"/>
    <externalReference r:id="rId12"/>
  </externalReferences>
  <definedNames>
    <definedName name="_xlnm._FilterDatabase" localSheetId="3" hidden="1">'Asset register'!$A$2:$M$115</definedName>
    <definedName name="_xlnm._FilterDatabase" localSheetId="4" hidden="1">'HR Asset'!$A$3:$AA$29</definedName>
    <definedName name="_xlnm._FilterDatabase" localSheetId="5" hidden="1">'IT Assets'!$A$3:$AA$72</definedName>
    <definedName name="_xlnm._FilterDatabase" localSheetId="7" hidden="1">'Process (Service) Assets'!$A$3:$AA$26</definedName>
    <definedName name="_xlnm._FilterDatabase" localSheetId="6" hidden="1">'Software Assets'!$A$3:$AA$45</definedName>
    <definedName name="city">OFFSET([1]Validation!$C$2,0,0,COUNTA([1]Validation!$C$1:$C$65536)-1)</definedName>
    <definedName name="Company_Name" localSheetId="4">OFFSET([1]Validation!$A$2,0,0,COUNTA([1]Validation!$A$1:$A$65536)-1)</definedName>
    <definedName name="Company_Name" localSheetId="5">OFFSET([1]Validation!$A$2,0,0,COUNTA([1]Validation!$A$1:$A$65536)-1)</definedName>
    <definedName name="Company_Name" localSheetId="7">OFFSET([1]Validation!$A$2,0,0,COUNTA([1]Validation!$A$1:$A$65536)-1)</definedName>
    <definedName name="Company_Name" localSheetId="6">OFFSET([1]Validation!$A$2,0,0,COUNTA([1]Validation!$A$1:$A$65536)-1)</definedName>
    <definedName name="Company_Name">OFFSET([2]Validation!$A$2,0,0,COUNTA([2]Validation!$A$1:$A$65536)-1)</definedName>
    <definedName name="dept" localSheetId="4">OFFSET([1]Validation!$B$2,0,0,COUNTA([1]Validation!$B$1:$B$65536)-1)</definedName>
    <definedName name="dept" localSheetId="5">OFFSET([1]Validation!$B$2,0,0,COUNTA([1]Validation!$B$1:$B$65536)-1)</definedName>
    <definedName name="dept" localSheetId="7">OFFSET([1]Validation!$B$2,0,0,COUNTA([1]Validation!$B$1:$B$65536)-1)</definedName>
    <definedName name="dept" localSheetId="6">OFFSET([1]Validation!$B$2,0,0,COUNTA([1]Validation!$B$1:$B$65536)-1)</definedName>
    <definedName name="dept">OFFSET([2]Validation!$B$2,0,0,COUNTA([2]Validation!$B$1:$B$65536)-1)</definedName>
    <definedName name="Make">OFFSET([1]Validation!$F$2,0,0,COUNTA([1]Validation!$F$1:$F$65536)-1)</definedName>
    <definedName name="Other_Asset">OFFSET([1]Validation!$G$2,0,0,COUNTA([1]Validation!$G$1:$G$65536)-1)</definedName>
    <definedName name="soft_typ">OFFSET([1]Validation!$E$2,0,0,COUNTA([1]Validation!$E$1:$E$65536)-1)</definedName>
    <definedName name="Type" localSheetId="4">OFFSET([1]Validation!$D$2,0,0,COUNTA([1]Validation!$D$1:$D$65536)-1)</definedName>
    <definedName name="Type" localSheetId="5">OFFSET([1]Validation!$D$2,0,0,COUNTA([1]Validation!$D$1:$D$65536)-1)</definedName>
    <definedName name="Type" localSheetId="7">OFFSET([1]Validation!$D$2,0,0,COUNTA([1]Validation!$D$1:$D$65536)-1)</definedName>
    <definedName name="Type" localSheetId="6">OFFSET([1]Validation!$D$2,0,0,COUNTA([1]Validation!$D$1:$D$65536)-1)</definedName>
    <definedName name="Type">OFFSET([2]Validation!$D$2,0,0,COUNTA([2]Validation!$D$1:$D$65536)-1)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6" i="42" l="1"/>
  <c r="J23" i="42"/>
  <c r="J24" i="42"/>
  <c r="J21" i="42"/>
  <c r="J17" i="42"/>
  <c r="J18" i="42"/>
  <c r="J19" i="42"/>
  <c r="J13" i="42"/>
  <c r="J14" i="42"/>
  <c r="J15" i="42"/>
  <c r="J11" i="42"/>
  <c r="J5" i="42"/>
  <c r="J6" i="42"/>
  <c r="J7" i="42"/>
  <c r="J34" i="45"/>
  <c r="J32" i="45"/>
  <c r="J30" i="45"/>
  <c r="J36" i="45"/>
  <c r="J35" i="45"/>
  <c r="J33" i="45"/>
  <c r="J26" i="45"/>
  <c r="J27" i="45"/>
  <c r="J28" i="45"/>
  <c r="J29" i="45"/>
  <c r="J17" i="45"/>
  <c r="J18" i="45"/>
  <c r="J19" i="45"/>
  <c r="J20" i="45"/>
  <c r="J21" i="45"/>
  <c r="J22" i="45"/>
  <c r="J23" i="45"/>
  <c r="J24" i="45"/>
  <c r="J9" i="45"/>
  <c r="J10" i="45"/>
  <c r="J7" i="45"/>
  <c r="J54" i="44"/>
  <c r="J49" i="44"/>
  <c r="D45" i="49"/>
  <c r="C45" i="49"/>
  <c r="B45" i="49"/>
  <c r="E43" i="49"/>
  <c r="E42" i="49"/>
  <c r="E41" i="49"/>
  <c r="E40" i="49"/>
  <c r="J45" i="45"/>
  <c r="O45" i="45" s="1"/>
  <c r="R45" i="45" s="1"/>
  <c r="S45" i="45" s="1"/>
  <c r="E45" i="49" l="1"/>
  <c r="Y45" i="45"/>
  <c r="P45" i="45"/>
  <c r="J69" i="44"/>
  <c r="O70" i="44" s="1"/>
  <c r="P70" i="44" s="1"/>
  <c r="J70" i="44"/>
  <c r="O71" i="44" s="1"/>
  <c r="P71" i="44" s="1"/>
  <c r="J71" i="44"/>
  <c r="J72" i="44"/>
  <c r="J68" i="44"/>
  <c r="O69" i="44" l="1"/>
  <c r="P69" i="44" s="1"/>
  <c r="Y72" i="44"/>
  <c r="Z72" i="44" s="1"/>
  <c r="O72" i="44"/>
  <c r="P72" i="44" s="1"/>
  <c r="J63" i="44"/>
  <c r="O63" i="44" s="1"/>
  <c r="P63" i="44" s="1"/>
  <c r="J64" i="44"/>
  <c r="O64" i="44" s="1"/>
  <c r="P64" i="44" s="1"/>
  <c r="J65" i="44"/>
  <c r="J66" i="44"/>
  <c r="O66" i="44" s="1"/>
  <c r="P66" i="44" s="1"/>
  <c r="J67" i="44"/>
  <c r="O68" i="44" s="1"/>
  <c r="P68" i="44" s="1"/>
  <c r="J62" i="44"/>
  <c r="O62" i="44" s="1"/>
  <c r="P62" i="44" s="1"/>
  <c r="J61" i="44"/>
  <c r="O61" i="44" s="1"/>
  <c r="P61" i="44" s="1"/>
  <c r="J60" i="44"/>
  <c r="O60" i="44" s="1"/>
  <c r="P60" i="44" s="1"/>
  <c r="J13" i="45"/>
  <c r="O13" i="45" s="1"/>
  <c r="J15" i="45"/>
  <c r="O15" i="45" s="1"/>
  <c r="R15" i="45" s="1"/>
  <c r="S15" i="45" s="1"/>
  <c r="J14" i="45"/>
  <c r="O14" i="45" s="1"/>
  <c r="R14" i="45" s="1"/>
  <c r="S14" i="45" s="1"/>
  <c r="J12" i="45"/>
  <c r="O12" i="45" s="1"/>
  <c r="R12" i="45" s="1"/>
  <c r="S12" i="45" s="1"/>
  <c r="J53" i="44"/>
  <c r="O54" i="44" s="1"/>
  <c r="J25" i="25"/>
  <c r="Y26" i="25" s="1"/>
  <c r="J24" i="25"/>
  <c r="O24" i="25" s="1"/>
  <c r="J23" i="25"/>
  <c r="J22" i="25"/>
  <c r="O22" i="25" s="1"/>
  <c r="J15" i="25"/>
  <c r="J14" i="25"/>
  <c r="O14" i="25" s="1"/>
  <c r="J11" i="25"/>
  <c r="J10" i="25"/>
  <c r="O10" i="25" s="1"/>
  <c r="J107" i="48"/>
  <c r="K107" i="48" s="1"/>
  <c r="L107" i="48"/>
  <c r="J108" i="48"/>
  <c r="K108" i="48" s="1"/>
  <c r="L108" i="48"/>
  <c r="J109" i="48"/>
  <c r="K109" i="48" s="1"/>
  <c r="L109" i="48"/>
  <c r="J110" i="48"/>
  <c r="K110" i="48" s="1"/>
  <c r="L110" i="48"/>
  <c r="J111" i="48"/>
  <c r="K111" i="48" s="1"/>
  <c r="L111" i="48"/>
  <c r="J112" i="48"/>
  <c r="K112" i="48" s="1"/>
  <c r="L112" i="48"/>
  <c r="J113" i="48"/>
  <c r="K113" i="48" s="1"/>
  <c r="L113" i="48"/>
  <c r="J114" i="48"/>
  <c r="K114" i="48" s="1"/>
  <c r="L114" i="48"/>
  <c r="J115" i="48"/>
  <c r="K115" i="48" s="1"/>
  <c r="L115" i="48"/>
  <c r="J106" i="48"/>
  <c r="K106" i="48" s="1"/>
  <c r="L106" i="48"/>
  <c r="J105" i="48"/>
  <c r="K105" i="48" s="1"/>
  <c r="L105" i="48"/>
  <c r="J96" i="48"/>
  <c r="K96" i="48" s="1"/>
  <c r="L96" i="48"/>
  <c r="J97" i="48"/>
  <c r="K97" i="48" s="1"/>
  <c r="L97" i="48"/>
  <c r="J98" i="48"/>
  <c r="K98" i="48" s="1"/>
  <c r="L98" i="48"/>
  <c r="J99" i="48"/>
  <c r="K99" i="48" s="1"/>
  <c r="L99" i="48"/>
  <c r="J100" i="48"/>
  <c r="K100" i="48" s="1"/>
  <c r="L100" i="48"/>
  <c r="J101" i="48"/>
  <c r="K101" i="48" s="1"/>
  <c r="L101" i="48"/>
  <c r="J102" i="48"/>
  <c r="K102" i="48" s="1"/>
  <c r="L102" i="48"/>
  <c r="J103" i="48"/>
  <c r="K103" i="48" s="1"/>
  <c r="L103" i="48"/>
  <c r="J104" i="48"/>
  <c r="K104" i="48" s="1"/>
  <c r="L104" i="48"/>
  <c r="J95" i="48"/>
  <c r="K95" i="48" s="1"/>
  <c r="L95" i="48"/>
  <c r="J128" i="48"/>
  <c r="K128" i="48" s="1"/>
  <c r="L128" i="48"/>
  <c r="J127" i="48"/>
  <c r="K127" i="48" s="1"/>
  <c r="L127" i="48"/>
  <c r="J126" i="48"/>
  <c r="K126" i="48" s="1"/>
  <c r="L126" i="48"/>
  <c r="J157" i="48"/>
  <c r="K157" i="48" s="1"/>
  <c r="L157" i="48"/>
  <c r="J135" i="48"/>
  <c r="K135" i="48" s="1"/>
  <c r="L135" i="48"/>
  <c r="J141" i="48"/>
  <c r="K141" i="48" s="1"/>
  <c r="L141" i="48"/>
  <c r="J125" i="48"/>
  <c r="K125" i="48" s="1"/>
  <c r="L125" i="48"/>
  <c r="J143" i="48"/>
  <c r="K143" i="48" s="1"/>
  <c r="L143" i="48"/>
  <c r="J139" i="48"/>
  <c r="K139" i="48" s="1"/>
  <c r="L139" i="48"/>
  <c r="J138" i="48"/>
  <c r="K138" i="48" s="1"/>
  <c r="L138" i="48"/>
  <c r="L137" i="48"/>
  <c r="J137" i="48"/>
  <c r="K137" i="48" s="1"/>
  <c r="J148" i="48"/>
  <c r="K148" i="48" s="1"/>
  <c r="L148" i="48"/>
  <c r="J140" i="48"/>
  <c r="K140" i="48" s="1"/>
  <c r="L140" i="48"/>
  <c r="L16" i="48"/>
  <c r="L15" i="48"/>
  <c r="L14" i="48"/>
  <c r="L13" i="48"/>
  <c r="L12" i="48"/>
  <c r="L11" i="48"/>
  <c r="L10" i="48"/>
  <c r="L9" i="48"/>
  <c r="L8" i="48"/>
  <c r="L7" i="48"/>
  <c r="L6" i="48"/>
  <c r="L5" i="48"/>
  <c r="L4" i="48"/>
  <c r="L3" i="48"/>
  <c r="L235" i="48"/>
  <c r="R54" i="44" l="1"/>
  <c r="S54" i="44" s="1"/>
  <c r="P54" i="44"/>
  <c r="O65" i="44"/>
  <c r="P65" i="44" s="1"/>
  <c r="Y69" i="44"/>
  <c r="Z69" i="44" s="1"/>
  <c r="O67" i="44"/>
  <c r="P67" i="44" s="1"/>
  <c r="R13" i="45"/>
  <c r="S13" i="45" s="1"/>
  <c r="P13" i="45"/>
  <c r="P15" i="45"/>
  <c r="P12" i="45"/>
  <c r="P14" i="45"/>
  <c r="O53" i="44"/>
  <c r="P53" i="44" s="1"/>
  <c r="R24" i="25"/>
  <c r="S24" i="25" s="1"/>
  <c r="P24" i="25"/>
  <c r="O25" i="25"/>
  <c r="P25" i="25" s="1"/>
  <c r="O23" i="25"/>
  <c r="R23" i="25" s="1"/>
  <c r="S23" i="25" s="1"/>
  <c r="R22" i="25"/>
  <c r="S22" i="25" s="1"/>
  <c r="P22" i="25"/>
  <c r="R14" i="25"/>
  <c r="S14" i="25" s="1"/>
  <c r="P14" i="25"/>
  <c r="O15" i="25"/>
  <c r="R15" i="25" s="1"/>
  <c r="S15" i="25" s="1"/>
  <c r="R10" i="25"/>
  <c r="S10" i="25" s="1"/>
  <c r="P10" i="25"/>
  <c r="O11" i="25"/>
  <c r="R11" i="25" s="1"/>
  <c r="S11" i="25" s="1"/>
  <c r="J155" i="48"/>
  <c r="K155" i="48" s="1"/>
  <c r="L155" i="48"/>
  <c r="J154" i="48"/>
  <c r="K154" i="48" s="1"/>
  <c r="L154" i="48"/>
  <c r="J134" i="48"/>
  <c r="K134" i="48" s="1"/>
  <c r="L134" i="48"/>
  <c r="J136" i="48"/>
  <c r="K136" i="48" s="1"/>
  <c r="L136" i="48"/>
  <c r="J133" i="48"/>
  <c r="K133" i="48" s="1"/>
  <c r="L133" i="48"/>
  <c r="J132" i="48"/>
  <c r="K132" i="48" s="1"/>
  <c r="L132" i="48"/>
  <c r="L131" i="48"/>
  <c r="J131" i="48"/>
  <c r="K131" i="48" s="1"/>
  <c r="L130" i="48"/>
  <c r="J130" i="48"/>
  <c r="K130" i="48" s="1"/>
  <c r="J129" i="48"/>
  <c r="K129" i="48" s="1"/>
  <c r="L129" i="48"/>
  <c r="J124" i="48"/>
  <c r="K124" i="48" s="1"/>
  <c r="L124" i="48"/>
  <c r="J123" i="48"/>
  <c r="K123" i="48" s="1"/>
  <c r="L123" i="48"/>
  <c r="J150" i="48"/>
  <c r="K150" i="48" s="1"/>
  <c r="L150" i="48"/>
  <c r="J151" i="48"/>
  <c r="K151" i="48" s="1"/>
  <c r="L151" i="48"/>
  <c r="J152" i="48"/>
  <c r="K152" i="48" s="1"/>
  <c r="L152" i="48"/>
  <c r="J153" i="48"/>
  <c r="K153" i="48" s="1"/>
  <c r="L153" i="48"/>
  <c r="J149" i="48"/>
  <c r="K149" i="48" s="1"/>
  <c r="L149" i="48"/>
  <c r="J142" i="48"/>
  <c r="K142" i="48" s="1"/>
  <c r="L142" i="48"/>
  <c r="J144" i="48"/>
  <c r="K144" i="48" s="1"/>
  <c r="L144" i="48"/>
  <c r="J145" i="48"/>
  <c r="K145" i="48" s="1"/>
  <c r="L145" i="48"/>
  <c r="J146" i="48"/>
  <c r="K146" i="48" s="1"/>
  <c r="L146" i="48"/>
  <c r="J147" i="48"/>
  <c r="K147" i="48" s="1"/>
  <c r="L147" i="48"/>
  <c r="J117" i="48"/>
  <c r="K117" i="48" s="1"/>
  <c r="L117" i="48"/>
  <c r="J118" i="48"/>
  <c r="K118" i="48" s="1"/>
  <c r="L118" i="48"/>
  <c r="J119" i="48"/>
  <c r="K119" i="48" s="1"/>
  <c r="L119" i="48"/>
  <c r="J120" i="48"/>
  <c r="K120" i="48" s="1"/>
  <c r="L120" i="48"/>
  <c r="J121" i="48"/>
  <c r="K121" i="48" s="1"/>
  <c r="L121" i="48"/>
  <c r="J122" i="48"/>
  <c r="K122" i="48" s="1"/>
  <c r="L122" i="48"/>
  <c r="J116" i="48"/>
  <c r="K116" i="48" s="1"/>
  <c r="L116" i="48"/>
  <c r="P15" i="25" l="1"/>
  <c r="R53" i="44"/>
  <c r="S53" i="44" s="1"/>
  <c r="P23" i="25"/>
  <c r="R25" i="25"/>
  <c r="S25" i="25" s="1"/>
  <c r="P11" i="25"/>
  <c r="J50" i="48"/>
  <c r="K50" i="48" s="1"/>
  <c r="L50" i="48"/>
  <c r="J51" i="48"/>
  <c r="K51" i="48" s="1"/>
  <c r="L51" i="48"/>
  <c r="J49" i="48"/>
  <c r="K49" i="48" s="1"/>
  <c r="L49" i="48"/>
  <c r="J17" i="48"/>
  <c r="K17" i="48" s="1"/>
  <c r="L17" i="48"/>
  <c r="J18" i="48"/>
  <c r="K18" i="48" s="1"/>
  <c r="L18" i="48"/>
  <c r="J19" i="48"/>
  <c r="K19" i="48" s="1"/>
  <c r="L19" i="48"/>
  <c r="J20" i="48"/>
  <c r="K20" i="48" s="1"/>
  <c r="L20" i="48"/>
  <c r="J21" i="48"/>
  <c r="K21" i="48" s="1"/>
  <c r="L21" i="48"/>
  <c r="J22" i="48"/>
  <c r="K22" i="48" s="1"/>
  <c r="L22" i="48"/>
  <c r="J23" i="48"/>
  <c r="K23" i="48" s="1"/>
  <c r="L23" i="48"/>
  <c r="J24" i="48"/>
  <c r="K24" i="48" s="1"/>
  <c r="L24" i="48"/>
  <c r="J25" i="48"/>
  <c r="K25" i="48" s="1"/>
  <c r="L25" i="48"/>
  <c r="J26" i="48"/>
  <c r="K26" i="48" s="1"/>
  <c r="L26" i="48"/>
  <c r="J27" i="48"/>
  <c r="K27" i="48" s="1"/>
  <c r="L27" i="48"/>
  <c r="J28" i="48"/>
  <c r="K28" i="48" s="1"/>
  <c r="L28" i="48"/>
  <c r="J29" i="48"/>
  <c r="K29" i="48" s="1"/>
  <c r="L29" i="48"/>
  <c r="J30" i="48"/>
  <c r="K30" i="48" s="1"/>
  <c r="L30" i="48"/>
  <c r="J31" i="48"/>
  <c r="K31" i="48" s="1"/>
  <c r="L31" i="48"/>
  <c r="J32" i="48"/>
  <c r="K32" i="48" s="1"/>
  <c r="L32" i="48"/>
  <c r="J33" i="48"/>
  <c r="K33" i="48" s="1"/>
  <c r="L33" i="48"/>
  <c r="J34" i="48"/>
  <c r="K34" i="48" s="1"/>
  <c r="L34" i="48"/>
  <c r="J35" i="48"/>
  <c r="K35" i="48" s="1"/>
  <c r="L35" i="48"/>
  <c r="J36" i="48"/>
  <c r="K36" i="48" s="1"/>
  <c r="L36" i="48"/>
  <c r="J37" i="48"/>
  <c r="K37" i="48" s="1"/>
  <c r="L37" i="48"/>
  <c r="J38" i="48"/>
  <c r="K38" i="48" s="1"/>
  <c r="L38" i="48"/>
  <c r="J39" i="48"/>
  <c r="K39" i="48" s="1"/>
  <c r="L39" i="48"/>
  <c r="J40" i="48"/>
  <c r="K40" i="48" s="1"/>
  <c r="L40" i="48"/>
  <c r="J41" i="48"/>
  <c r="K41" i="48" s="1"/>
  <c r="L41" i="48"/>
  <c r="J42" i="48"/>
  <c r="K42" i="48" s="1"/>
  <c r="L42" i="48"/>
  <c r="J43" i="48"/>
  <c r="K43" i="48" s="1"/>
  <c r="L43" i="48"/>
  <c r="J44" i="48"/>
  <c r="K44" i="48" s="1"/>
  <c r="L44" i="48"/>
  <c r="J45" i="48"/>
  <c r="K45" i="48" s="1"/>
  <c r="L45" i="48"/>
  <c r="J46" i="48"/>
  <c r="K46" i="48" s="1"/>
  <c r="L46" i="48"/>
  <c r="J47" i="48"/>
  <c r="K47" i="48" s="1"/>
  <c r="L47" i="48"/>
  <c r="J48" i="48"/>
  <c r="K48" i="48" s="1"/>
  <c r="L48" i="48"/>
  <c r="J52" i="48"/>
  <c r="K52" i="48" s="1"/>
  <c r="L52" i="48"/>
  <c r="J53" i="48"/>
  <c r="K53" i="48" s="1"/>
  <c r="L53" i="48"/>
  <c r="J54" i="48"/>
  <c r="K54" i="48" s="1"/>
  <c r="L54" i="48"/>
  <c r="J55" i="48"/>
  <c r="K55" i="48" s="1"/>
  <c r="L55" i="48"/>
  <c r="J56" i="48"/>
  <c r="K56" i="48" s="1"/>
  <c r="L56" i="48"/>
  <c r="J57" i="48"/>
  <c r="K57" i="48" s="1"/>
  <c r="L57" i="48"/>
  <c r="J58" i="48"/>
  <c r="K58" i="48" s="1"/>
  <c r="L58" i="48"/>
  <c r="J59" i="48"/>
  <c r="K59" i="48" s="1"/>
  <c r="L59" i="48"/>
  <c r="J60" i="48"/>
  <c r="K60" i="48" s="1"/>
  <c r="L60" i="48"/>
  <c r="J61" i="48"/>
  <c r="K61" i="48" s="1"/>
  <c r="L61" i="48"/>
  <c r="J62" i="48"/>
  <c r="K62" i="48" s="1"/>
  <c r="L62" i="48"/>
  <c r="J63" i="48"/>
  <c r="K63" i="48" s="1"/>
  <c r="L63" i="48"/>
  <c r="J64" i="48"/>
  <c r="K64" i="48" s="1"/>
  <c r="L64" i="48"/>
  <c r="J65" i="48"/>
  <c r="K65" i="48" s="1"/>
  <c r="L65" i="48"/>
  <c r="J66" i="48"/>
  <c r="K66" i="48" s="1"/>
  <c r="L66" i="48"/>
  <c r="J67" i="48"/>
  <c r="K67" i="48" s="1"/>
  <c r="L67" i="48"/>
  <c r="J68" i="48"/>
  <c r="K68" i="48" s="1"/>
  <c r="L68" i="48"/>
  <c r="J69" i="48"/>
  <c r="K69" i="48" s="1"/>
  <c r="L69" i="48"/>
  <c r="J70" i="48"/>
  <c r="K70" i="48" s="1"/>
  <c r="L70" i="48"/>
  <c r="J16" i="48"/>
  <c r="K16" i="48" s="1"/>
  <c r="L224" i="48"/>
  <c r="L225" i="48"/>
  <c r="L223" i="48"/>
  <c r="J224" i="48"/>
  <c r="K224" i="48" s="1"/>
  <c r="J225" i="48"/>
  <c r="K225" i="48" s="1"/>
  <c r="J223" i="48"/>
  <c r="K223" i="48" s="1"/>
  <c r="L222" i="48"/>
  <c r="J222" i="48"/>
  <c r="K222" i="48" s="1"/>
  <c r="L221" i="48"/>
  <c r="J221" i="48"/>
  <c r="K221" i="48" s="1"/>
  <c r="L220" i="48"/>
  <c r="J220" i="48"/>
  <c r="K220" i="48" s="1"/>
  <c r="L219" i="48"/>
  <c r="J219" i="48"/>
  <c r="K219" i="48" s="1"/>
  <c r="L218" i="48"/>
  <c r="J218" i="48"/>
  <c r="K218" i="48" s="1"/>
  <c r="L217" i="48"/>
  <c r="J217" i="48"/>
  <c r="K217" i="48" s="1"/>
  <c r="L216" i="48"/>
  <c r="J216" i="48"/>
  <c r="K216" i="48" s="1"/>
  <c r="L215" i="48"/>
  <c r="J215" i="48"/>
  <c r="K215" i="48" s="1"/>
  <c r="L214" i="48"/>
  <c r="J214" i="48"/>
  <c r="K214" i="48" s="1"/>
  <c r="L213" i="48"/>
  <c r="J213" i="48"/>
  <c r="K213" i="48" s="1"/>
  <c r="L212" i="48"/>
  <c r="J212" i="48"/>
  <c r="K212" i="48" s="1"/>
  <c r="L211" i="48"/>
  <c r="J211" i="48"/>
  <c r="K211" i="48" s="1"/>
  <c r="L210" i="48"/>
  <c r="J210" i="48"/>
  <c r="K210" i="48" s="1"/>
  <c r="L209" i="48"/>
  <c r="J209" i="48"/>
  <c r="K209" i="48" s="1"/>
  <c r="L208" i="48"/>
  <c r="J208" i="48"/>
  <c r="K208" i="48" s="1"/>
  <c r="L207" i="48"/>
  <c r="J207" i="48"/>
  <c r="K207" i="48" s="1"/>
  <c r="L206" i="48"/>
  <c r="J206" i="48"/>
  <c r="K206" i="48" s="1"/>
  <c r="L205" i="48"/>
  <c r="J205" i="48"/>
  <c r="K205" i="48" s="1"/>
  <c r="L204" i="48"/>
  <c r="J204" i="48"/>
  <c r="K204" i="48" s="1"/>
  <c r="L203" i="48"/>
  <c r="J203" i="48"/>
  <c r="K203" i="48" s="1"/>
  <c r="L202" i="48"/>
  <c r="J202" i="48"/>
  <c r="K202" i="48" s="1"/>
  <c r="L201" i="48"/>
  <c r="J201" i="48"/>
  <c r="K201" i="48" s="1"/>
  <c r="L200" i="48"/>
  <c r="J200" i="48"/>
  <c r="K200" i="48" s="1"/>
  <c r="L199" i="48"/>
  <c r="J199" i="48"/>
  <c r="K199" i="48" s="1"/>
  <c r="L198" i="48"/>
  <c r="J198" i="48"/>
  <c r="K198" i="48" s="1"/>
  <c r="L197" i="48"/>
  <c r="J197" i="48"/>
  <c r="K197" i="48" s="1"/>
  <c r="L196" i="48"/>
  <c r="J196" i="48"/>
  <c r="K196" i="48" s="1"/>
  <c r="L195" i="48"/>
  <c r="J195" i="48"/>
  <c r="K195" i="48" s="1"/>
  <c r="L194" i="48"/>
  <c r="J194" i="48"/>
  <c r="K194" i="48" s="1"/>
  <c r="L193" i="48"/>
  <c r="J193" i="48"/>
  <c r="K193" i="48" s="1"/>
  <c r="L192" i="48"/>
  <c r="J192" i="48"/>
  <c r="K192" i="48" s="1"/>
  <c r="L191" i="48"/>
  <c r="J191" i="48"/>
  <c r="K191" i="48" s="1"/>
  <c r="L190" i="48"/>
  <c r="J190" i="48"/>
  <c r="K190" i="48" s="1"/>
  <c r="L189" i="48"/>
  <c r="J189" i="48"/>
  <c r="K189" i="48" s="1"/>
  <c r="L188" i="48"/>
  <c r="J188" i="48"/>
  <c r="K188" i="48" s="1"/>
  <c r="L187" i="48"/>
  <c r="J187" i="48"/>
  <c r="K187" i="48" s="1"/>
  <c r="L186" i="48"/>
  <c r="J186" i="48"/>
  <c r="K186" i="48" s="1"/>
  <c r="L185" i="48"/>
  <c r="J185" i="48"/>
  <c r="K185" i="48" s="1"/>
  <c r="L184" i="48"/>
  <c r="J184" i="48"/>
  <c r="K184" i="48" s="1"/>
  <c r="L183" i="48"/>
  <c r="J183" i="48"/>
  <c r="K183" i="48" s="1"/>
  <c r="L182" i="48"/>
  <c r="J182" i="48"/>
  <c r="K182" i="48" s="1"/>
  <c r="L181" i="48"/>
  <c r="J181" i="48"/>
  <c r="K181" i="48" s="1"/>
  <c r="L180" i="48"/>
  <c r="J180" i="48"/>
  <c r="K180" i="48" s="1"/>
  <c r="L179" i="48"/>
  <c r="J179" i="48"/>
  <c r="K179" i="48" s="1"/>
  <c r="L178" i="48"/>
  <c r="J178" i="48"/>
  <c r="K178" i="48" s="1"/>
  <c r="L177" i="48"/>
  <c r="J177" i="48"/>
  <c r="K177" i="48" s="1"/>
  <c r="L176" i="48"/>
  <c r="J176" i="48"/>
  <c r="K176" i="48" s="1"/>
  <c r="L175" i="48"/>
  <c r="J175" i="48"/>
  <c r="K175" i="48" s="1"/>
  <c r="L174" i="48"/>
  <c r="J174" i="48"/>
  <c r="K174" i="48" s="1"/>
  <c r="L173" i="48"/>
  <c r="J173" i="48"/>
  <c r="K173" i="48" s="1"/>
  <c r="L172" i="48"/>
  <c r="J172" i="48"/>
  <c r="K172" i="48" s="1"/>
  <c r="L171" i="48"/>
  <c r="J171" i="48"/>
  <c r="K171" i="48" s="1"/>
  <c r="L170" i="48"/>
  <c r="J170" i="48"/>
  <c r="K170" i="48" s="1"/>
  <c r="L169" i="48"/>
  <c r="J169" i="48"/>
  <c r="K169" i="48" s="1"/>
  <c r="L168" i="48"/>
  <c r="J168" i="48"/>
  <c r="K168" i="48" s="1"/>
  <c r="L167" i="48"/>
  <c r="J167" i="48"/>
  <c r="K167" i="48" s="1"/>
  <c r="L166" i="48"/>
  <c r="J166" i="48"/>
  <c r="K166" i="48" s="1"/>
  <c r="L165" i="48"/>
  <c r="J165" i="48"/>
  <c r="K165" i="48" s="1"/>
  <c r="L164" i="48"/>
  <c r="J164" i="48"/>
  <c r="K164" i="48" s="1"/>
  <c r="L163" i="48"/>
  <c r="J163" i="48"/>
  <c r="K163" i="48" s="1"/>
  <c r="L162" i="48"/>
  <c r="J162" i="48"/>
  <c r="K162" i="48" s="1"/>
  <c r="L161" i="48"/>
  <c r="J161" i="48"/>
  <c r="K161" i="48" s="1"/>
  <c r="L160" i="48"/>
  <c r="J160" i="48"/>
  <c r="K160" i="48" s="1"/>
  <c r="L159" i="48"/>
  <c r="J159" i="48"/>
  <c r="K159" i="48" s="1"/>
  <c r="L158" i="48"/>
  <c r="J158" i="48"/>
  <c r="K158" i="48" s="1"/>
  <c r="L156" i="48"/>
  <c r="J156" i="48"/>
  <c r="K156" i="48" s="1"/>
  <c r="J235" i="48"/>
  <c r="K235" i="48" s="1"/>
  <c r="L234" i="48"/>
  <c r="J234" i="48"/>
  <c r="K234" i="48" s="1"/>
  <c r="L233" i="48"/>
  <c r="J233" i="48"/>
  <c r="K233" i="48" s="1"/>
  <c r="L232" i="48"/>
  <c r="J232" i="48"/>
  <c r="K232" i="48" s="1"/>
  <c r="L231" i="48"/>
  <c r="J231" i="48"/>
  <c r="K231" i="48" s="1"/>
  <c r="L230" i="48"/>
  <c r="J230" i="48"/>
  <c r="K230" i="48" s="1"/>
  <c r="L229" i="48"/>
  <c r="J229" i="48"/>
  <c r="K229" i="48" s="1"/>
  <c r="L228" i="48"/>
  <c r="J228" i="48"/>
  <c r="K228" i="48" s="1"/>
  <c r="L227" i="48"/>
  <c r="J227" i="48"/>
  <c r="K227" i="48" s="1"/>
  <c r="L226" i="48"/>
  <c r="J226" i="48"/>
  <c r="K226" i="48" s="1"/>
  <c r="L94" i="48"/>
  <c r="J94" i="48"/>
  <c r="K94" i="48" s="1"/>
  <c r="L93" i="48"/>
  <c r="J93" i="48"/>
  <c r="K93" i="48" s="1"/>
  <c r="L92" i="48"/>
  <c r="J92" i="48"/>
  <c r="K92" i="48" s="1"/>
  <c r="L91" i="48"/>
  <c r="J91" i="48"/>
  <c r="K91" i="48" s="1"/>
  <c r="L90" i="48"/>
  <c r="J90" i="48"/>
  <c r="K90" i="48" s="1"/>
  <c r="L89" i="48"/>
  <c r="J89" i="48"/>
  <c r="K89" i="48" s="1"/>
  <c r="L76" i="48"/>
  <c r="J76" i="48"/>
  <c r="K76" i="48" s="1"/>
  <c r="L75" i="48"/>
  <c r="J75" i="48"/>
  <c r="K75" i="48" s="1"/>
  <c r="L88" i="48"/>
  <c r="J88" i="48"/>
  <c r="K88" i="48" s="1"/>
  <c r="L87" i="48"/>
  <c r="J87" i="48"/>
  <c r="K87" i="48" s="1"/>
  <c r="L86" i="48"/>
  <c r="J86" i="48"/>
  <c r="K86" i="48" s="1"/>
  <c r="L85" i="48"/>
  <c r="J85" i="48"/>
  <c r="K85" i="48" s="1"/>
  <c r="L84" i="48"/>
  <c r="J84" i="48"/>
  <c r="K84" i="48" s="1"/>
  <c r="L83" i="48"/>
  <c r="J83" i="48"/>
  <c r="K83" i="48" s="1"/>
  <c r="L82" i="48"/>
  <c r="J82" i="48"/>
  <c r="K82" i="48" s="1"/>
  <c r="L81" i="48"/>
  <c r="J81" i="48"/>
  <c r="K81" i="48" s="1"/>
  <c r="L80" i="48"/>
  <c r="J80" i="48"/>
  <c r="K80" i="48" s="1"/>
  <c r="L79" i="48"/>
  <c r="J79" i="48"/>
  <c r="K79" i="48" s="1"/>
  <c r="L78" i="48"/>
  <c r="J78" i="48"/>
  <c r="K78" i="48" s="1"/>
  <c r="L77" i="48"/>
  <c r="J77" i="48"/>
  <c r="K77" i="48" s="1"/>
  <c r="L74" i="48"/>
  <c r="J74" i="48"/>
  <c r="K74" i="48" s="1"/>
  <c r="L73" i="48"/>
  <c r="J73" i="48"/>
  <c r="K73" i="48" s="1"/>
  <c r="L72" i="48"/>
  <c r="J72" i="48"/>
  <c r="K72" i="48" s="1"/>
  <c r="L71" i="48"/>
  <c r="J71" i="48"/>
  <c r="K71" i="48" s="1"/>
  <c r="J15" i="48"/>
  <c r="K15" i="48" s="1"/>
  <c r="J14" i="48"/>
  <c r="K14" i="48" s="1"/>
  <c r="J13" i="48"/>
  <c r="K13" i="48" s="1"/>
  <c r="J12" i="48"/>
  <c r="K12" i="48" s="1"/>
  <c r="J11" i="48"/>
  <c r="K11" i="48" s="1"/>
  <c r="J10" i="48"/>
  <c r="K10" i="48" s="1"/>
  <c r="J9" i="48"/>
  <c r="K9" i="48" s="1"/>
  <c r="J8" i="48"/>
  <c r="K8" i="48" s="1"/>
  <c r="J7" i="48"/>
  <c r="K7" i="48" s="1"/>
  <c r="J6" i="48"/>
  <c r="K6" i="48" s="1"/>
  <c r="J5" i="48"/>
  <c r="K5" i="48" s="1"/>
  <c r="J4" i="48"/>
  <c r="K4" i="48" s="1"/>
  <c r="J3" i="48"/>
  <c r="K3" i="48" s="1"/>
  <c r="J56" i="44"/>
  <c r="J57" i="44"/>
  <c r="J58" i="44"/>
  <c r="J59" i="44"/>
  <c r="J51" i="44"/>
  <c r="J52" i="44"/>
  <c r="J46" i="44"/>
  <c r="O47" i="44" s="1"/>
  <c r="P47" i="44" s="1"/>
  <c r="J47" i="44"/>
  <c r="J18" i="44"/>
  <c r="J10" i="44"/>
  <c r="J11" i="44"/>
  <c r="J12" i="44"/>
  <c r="J13" i="44"/>
  <c r="J14" i="44"/>
  <c r="J15" i="44"/>
  <c r="J16" i="44"/>
  <c r="J34" i="44"/>
  <c r="J35" i="44"/>
  <c r="J36" i="44"/>
  <c r="J37" i="44"/>
  <c r="J38" i="44"/>
  <c r="J39" i="44"/>
  <c r="J40" i="44"/>
  <c r="J41" i="44"/>
  <c r="J42" i="44"/>
  <c r="J43" i="44"/>
  <c r="J44" i="44"/>
  <c r="J20" i="44"/>
  <c r="J21" i="44"/>
  <c r="J22" i="44"/>
  <c r="J23" i="44"/>
  <c r="J24" i="44"/>
  <c r="J25" i="44"/>
  <c r="J26" i="44"/>
  <c r="J27" i="44"/>
  <c r="J28" i="44"/>
  <c r="J29" i="44"/>
  <c r="J30" i="44"/>
  <c r="J31" i="44"/>
  <c r="J32" i="44"/>
  <c r="J5" i="44"/>
  <c r="J6" i="44"/>
  <c r="J7" i="44"/>
  <c r="J8" i="44"/>
  <c r="J29" i="25"/>
  <c r="J27" i="25"/>
  <c r="J21" i="25"/>
  <c r="J19" i="25"/>
  <c r="J17" i="25"/>
  <c r="J13" i="25"/>
  <c r="J9" i="25"/>
  <c r="J7" i="25"/>
  <c r="J5" i="25"/>
  <c r="J44" i="45"/>
  <c r="J43" i="45"/>
  <c r="O44" i="45" s="1"/>
  <c r="P44" i="45" s="1"/>
  <c r="J42" i="45"/>
  <c r="O43" i="45" s="1"/>
  <c r="R43" i="45" s="1"/>
  <c r="S43" i="45" s="1"/>
  <c r="J6" i="25"/>
  <c r="O7" i="25" s="1"/>
  <c r="J25" i="42"/>
  <c r="O26" i="42" s="1"/>
  <c r="J22" i="42"/>
  <c r="O22" i="42" s="1"/>
  <c r="J20" i="42"/>
  <c r="Y21" i="42" s="1"/>
  <c r="Z21" i="42" s="1"/>
  <c r="J16" i="42"/>
  <c r="O17" i="42" s="1"/>
  <c r="R17" i="42" s="1"/>
  <c r="S17" i="42" s="1"/>
  <c r="O19" i="42"/>
  <c r="P19" i="42" s="1"/>
  <c r="J12" i="42"/>
  <c r="O13" i="42" s="1"/>
  <c r="J10" i="42"/>
  <c r="O10" i="42" s="1"/>
  <c r="J9" i="42"/>
  <c r="Y9" i="42" s="1"/>
  <c r="Z9" i="42" s="1"/>
  <c r="J8" i="42"/>
  <c r="J4" i="42"/>
  <c r="Y8" i="42" s="1"/>
  <c r="Z8" i="42" s="1"/>
  <c r="J41" i="45"/>
  <c r="O42" i="45" s="1"/>
  <c r="R42" i="45" s="1"/>
  <c r="S42" i="45" s="1"/>
  <c r="J16" i="45"/>
  <c r="O24" i="45" s="1"/>
  <c r="R24" i="45" s="1"/>
  <c r="S24" i="45" s="1"/>
  <c r="J8" i="45"/>
  <c r="O10" i="45" s="1"/>
  <c r="J5" i="45"/>
  <c r="O5" i="45" s="1"/>
  <c r="J40" i="45"/>
  <c r="O41" i="45" s="1"/>
  <c r="J39" i="45"/>
  <c r="O39" i="45" s="1"/>
  <c r="P39" i="45" s="1"/>
  <c r="J38" i="45"/>
  <c r="O38" i="45" s="1"/>
  <c r="P38" i="45" s="1"/>
  <c r="J37" i="45"/>
  <c r="O37" i="45" s="1"/>
  <c r="J31" i="45"/>
  <c r="O35" i="45" s="1"/>
  <c r="J25" i="45"/>
  <c r="O28" i="45" s="1"/>
  <c r="R28" i="45" s="1"/>
  <c r="S28" i="45" s="1"/>
  <c r="J11" i="45"/>
  <c r="O11" i="45" s="1"/>
  <c r="R11" i="45" s="1"/>
  <c r="S11" i="45" s="1"/>
  <c r="J6" i="45"/>
  <c r="O7" i="45" s="1"/>
  <c r="J4" i="45"/>
  <c r="O4" i="45" s="1"/>
  <c r="J50" i="44"/>
  <c r="O50" i="44" s="1"/>
  <c r="J48" i="44"/>
  <c r="O48" i="44" s="1"/>
  <c r="P48" i="44" s="1"/>
  <c r="J33" i="44"/>
  <c r="O18" i="42"/>
  <c r="R18" i="42" s="1"/>
  <c r="S18" i="42" s="1"/>
  <c r="J9" i="44"/>
  <c r="O15" i="44" s="1"/>
  <c r="J55" i="44"/>
  <c r="O59" i="44" s="1"/>
  <c r="J45" i="44"/>
  <c r="J17" i="44"/>
  <c r="O17" i="44" s="1"/>
  <c r="P17" i="44" s="1"/>
  <c r="J19" i="44"/>
  <c r="J4" i="44"/>
  <c r="O5" i="44" s="1"/>
  <c r="J28" i="25"/>
  <c r="Y28" i="25" s="1"/>
  <c r="J26" i="25"/>
  <c r="Y27" i="25" s="1"/>
  <c r="Z27" i="25" s="1"/>
  <c r="J20" i="25"/>
  <c r="O21" i="25" s="1"/>
  <c r="J18" i="25"/>
  <c r="O18" i="25" s="1"/>
  <c r="J16" i="25"/>
  <c r="O16" i="25" s="1"/>
  <c r="J12" i="25"/>
  <c r="O13" i="25" s="1"/>
  <c r="J8" i="25"/>
  <c r="O9" i="25" s="1"/>
  <c r="J4" i="25"/>
  <c r="O5" i="25" s="1"/>
  <c r="P5" i="25" s="1"/>
  <c r="L4" i="5"/>
  <c r="M4" i="5"/>
  <c r="O23" i="42" l="1"/>
  <c r="P23" i="42" s="1"/>
  <c r="O25" i="42"/>
  <c r="P25" i="42" s="1"/>
  <c r="O6" i="42"/>
  <c r="P6" i="42" s="1"/>
  <c r="O8" i="42"/>
  <c r="P8" i="42" s="1"/>
  <c r="O5" i="42"/>
  <c r="P5" i="42" s="1"/>
  <c r="O7" i="42"/>
  <c r="O4" i="42"/>
  <c r="P4" i="42" s="1"/>
  <c r="R4" i="42"/>
  <c r="S4" i="42" s="1"/>
  <c r="Y20" i="42"/>
  <c r="Z20" i="42" s="1"/>
  <c r="O21" i="42"/>
  <c r="P21" i="42" s="1"/>
  <c r="O16" i="42"/>
  <c r="R8" i="42"/>
  <c r="S8" i="42" s="1"/>
  <c r="R19" i="42"/>
  <c r="S19" i="42" s="1"/>
  <c r="O11" i="42"/>
  <c r="P11" i="42" s="1"/>
  <c r="O8" i="45"/>
  <c r="P8" i="45" s="1"/>
  <c r="R6" i="42"/>
  <c r="S6" i="42" s="1"/>
  <c r="O17" i="25"/>
  <c r="P17" i="25" s="1"/>
  <c r="O29" i="25"/>
  <c r="P29" i="25" s="1"/>
  <c r="O26" i="25"/>
  <c r="O58" i="44"/>
  <c r="R58" i="44" s="1"/>
  <c r="S58" i="44" s="1"/>
  <c r="O18" i="44"/>
  <c r="P18" i="44" s="1"/>
  <c r="R26" i="42"/>
  <c r="S26" i="42" s="1"/>
  <c r="P26" i="42"/>
  <c r="R25" i="42"/>
  <c r="S25" i="42" s="1"/>
  <c r="O9" i="42"/>
  <c r="O24" i="42"/>
  <c r="R23" i="42"/>
  <c r="S23" i="42" s="1"/>
  <c r="O20" i="42"/>
  <c r="O14" i="42"/>
  <c r="O20" i="45"/>
  <c r="P20" i="45" s="1"/>
  <c r="O27" i="45"/>
  <c r="R27" i="45" s="1"/>
  <c r="S27" i="45" s="1"/>
  <c r="O33" i="45"/>
  <c r="P33" i="45" s="1"/>
  <c r="O34" i="45"/>
  <c r="P34" i="45" s="1"/>
  <c r="O18" i="45"/>
  <c r="P18" i="45" s="1"/>
  <c r="R39" i="45"/>
  <c r="S39" i="45" s="1"/>
  <c r="O22" i="45"/>
  <c r="O32" i="45"/>
  <c r="P32" i="45" s="1"/>
  <c r="O36" i="45"/>
  <c r="P36" i="45" s="1"/>
  <c r="O23" i="45"/>
  <c r="O6" i="45"/>
  <c r="O29" i="45"/>
  <c r="P29" i="45" s="1"/>
  <c r="O40" i="45"/>
  <c r="R40" i="45" s="1"/>
  <c r="S40" i="45" s="1"/>
  <c r="O16" i="45"/>
  <c r="R16" i="45" s="1"/>
  <c r="S16" i="45" s="1"/>
  <c r="P43" i="45"/>
  <c r="P41" i="45"/>
  <c r="R41" i="45"/>
  <c r="S41" i="45" s="1"/>
  <c r="O25" i="45"/>
  <c r="R25" i="45" s="1"/>
  <c r="S25" i="45" s="1"/>
  <c r="Y30" i="45"/>
  <c r="Z30" i="45" s="1"/>
  <c r="R38" i="45"/>
  <c r="S38" i="45" s="1"/>
  <c r="O26" i="45"/>
  <c r="P26" i="45" s="1"/>
  <c r="O21" i="45"/>
  <c r="O17" i="45"/>
  <c r="R17" i="45" s="1"/>
  <c r="S17" i="45" s="1"/>
  <c r="O19" i="45"/>
  <c r="O30" i="45"/>
  <c r="O16" i="44"/>
  <c r="R16" i="44" s="1"/>
  <c r="S16" i="44" s="1"/>
  <c r="O49" i="44"/>
  <c r="O52" i="44"/>
  <c r="R52" i="44" s="1"/>
  <c r="S52" i="44" s="1"/>
  <c r="O29" i="44"/>
  <c r="P29" i="44" s="1"/>
  <c r="O22" i="44"/>
  <c r="O33" i="44"/>
  <c r="R33" i="44" s="1"/>
  <c r="S33" i="44" s="1"/>
  <c r="O35" i="44"/>
  <c r="P35" i="44" s="1"/>
  <c r="O34" i="44"/>
  <c r="P34" i="44" s="1"/>
  <c r="O9" i="44"/>
  <c r="O56" i="44"/>
  <c r="R56" i="44" s="1"/>
  <c r="S56" i="44" s="1"/>
  <c r="O46" i="44"/>
  <c r="O30" i="44"/>
  <c r="P30" i="44" s="1"/>
  <c r="Y29" i="44"/>
  <c r="Z29" i="44" s="1"/>
  <c r="O10" i="44"/>
  <c r="P10" i="44" s="1"/>
  <c r="Y22" i="44"/>
  <c r="Z22" i="44" s="1"/>
  <c r="O45" i="44"/>
  <c r="O42" i="44"/>
  <c r="P42" i="44" s="1"/>
  <c r="O44" i="44"/>
  <c r="O41" i="44"/>
  <c r="P41" i="44" s="1"/>
  <c r="O43" i="44"/>
  <c r="Y38" i="44"/>
  <c r="Z38" i="44" s="1"/>
  <c r="O37" i="44"/>
  <c r="Y40" i="44"/>
  <c r="Z40" i="44" s="1"/>
  <c r="O40" i="44"/>
  <c r="O38" i="44"/>
  <c r="P38" i="44" s="1"/>
  <c r="O36" i="44"/>
  <c r="P36" i="44" s="1"/>
  <c r="O39" i="44"/>
  <c r="P39" i="44" s="1"/>
  <c r="Y36" i="44"/>
  <c r="Z36" i="44" s="1"/>
  <c r="Y42" i="44"/>
  <c r="Z42" i="44" s="1"/>
  <c r="Y37" i="44"/>
  <c r="Z37" i="44" s="1"/>
  <c r="Y34" i="44"/>
  <c r="Z34" i="44" s="1"/>
  <c r="O26" i="44"/>
  <c r="P26" i="44" s="1"/>
  <c r="O31" i="44"/>
  <c r="P31" i="44" s="1"/>
  <c r="Y27" i="44"/>
  <c r="Z27" i="44" s="1"/>
  <c r="O24" i="44"/>
  <c r="P24" i="44" s="1"/>
  <c r="Y23" i="44"/>
  <c r="Z23" i="44" s="1"/>
  <c r="Y24" i="44"/>
  <c r="Z24" i="44" s="1"/>
  <c r="O32" i="44"/>
  <c r="R32" i="44" s="1"/>
  <c r="S32" i="44" s="1"/>
  <c r="O25" i="44"/>
  <c r="O20" i="44"/>
  <c r="P20" i="44" s="1"/>
  <c r="O28" i="44"/>
  <c r="P28" i="44" s="1"/>
  <c r="O27" i="44"/>
  <c r="O19" i="44"/>
  <c r="P19" i="44" s="1"/>
  <c r="O23" i="44"/>
  <c r="O21" i="44"/>
  <c r="P15" i="44"/>
  <c r="R15" i="44"/>
  <c r="S15" i="44" s="1"/>
  <c r="P5" i="44"/>
  <c r="R5" i="44"/>
  <c r="S5" i="44" s="1"/>
  <c r="P50" i="44"/>
  <c r="R50" i="44"/>
  <c r="S50" i="44" s="1"/>
  <c r="O6" i="44"/>
  <c r="O12" i="44"/>
  <c r="R12" i="44" s="1"/>
  <c r="S12" i="44" s="1"/>
  <c r="O51" i="44"/>
  <c r="O11" i="44"/>
  <c r="Y16" i="44"/>
  <c r="Z16" i="44" s="1"/>
  <c r="O13" i="44"/>
  <c r="Y12" i="44"/>
  <c r="Z12" i="44" s="1"/>
  <c r="O4" i="44"/>
  <c r="R4" i="44" s="1"/>
  <c r="S4" i="44" s="1"/>
  <c r="O7" i="44"/>
  <c r="O8" i="44"/>
  <c r="P8" i="44" s="1"/>
  <c r="O14" i="44"/>
  <c r="R17" i="44"/>
  <c r="S17" i="44" s="1"/>
  <c r="O4" i="25"/>
  <c r="O12" i="25"/>
  <c r="R12" i="25" s="1"/>
  <c r="S12" i="25" s="1"/>
  <c r="O27" i="25"/>
  <c r="R27" i="25" s="1"/>
  <c r="S27" i="25" s="1"/>
  <c r="O6" i="25"/>
  <c r="R6" i="25" s="1"/>
  <c r="S6" i="25" s="1"/>
  <c r="O20" i="25"/>
  <c r="P20" i="25" s="1"/>
  <c r="P18" i="25"/>
  <c r="R18" i="25"/>
  <c r="S18" i="25" s="1"/>
  <c r="P21" i="25"/>
  <c r="R21" i="25"/>
  <c r="S21" i="25" s="1"/>
  <c r="O19" i="25"/>
  <c r="P19" i="25" s="1"/>
  <c r="R9" i="25"/>
  <c r="S9" i="25" s="1"/>
  <c r="P9" i="25"/>
  <c r="Y29" i="25"/>
  <c r="Z29" i="25" s="1"/>
  <c r="O8" i="25"/>
  <c r="R8" i="25" s="1"/>
  <c r="S8" i="25" s="1"/>
  <c r="O28" i="25"/>
  <c r="R37" i="45"/>
  <c r="S37" i="45" s="1"/>
  <c r="P37" i="45"/>
  <c r="R47" i="44"/>
  <c r="S47" i="44" s="1"/>
  <c r="R48" i="44"/>
  <c r="S48" i="44" s="1"/>
  <c r="R22" i="42"/>
  <c r="S22" i="42" s="1"/>
  <c r="P22" i="42"/>
  <c r="P59" i="44"/>
  <c r="R59" i="44"/>
  <c r="S59" i="44" s="1"/>
  <c r="P4" i="45"/>
  <c r="R4" i="45"/>
  <c r="S4" i="45" s="1"/>
  <c r="P13" i="25"/>
  <c r="R13" i="25"/>
  <c r="S13" i="25" s="1"/>
  <c r="P7" i="45"/>
  <c r="R7" i="45"/>
  <c r="S7" i="45" s="1"/>
  <c r="P5" i="45"/>
  <c r="R5" i="45"/>
  <c r="S5" i="45" s="1"/>
  <c r="P7" i="25"/>
  <c r="R7" i="25"/>
  <c r="S7" i="25" s="1"/>
  <c r="R10" i="45"/>
  <c r="S10" i="45" s="1"/>
  <c r="P10" i="45"/>
  <c r="R10" i="42"/>
  <c r="S10" i="42" s="1"/>
  <c r="P10" i="42"/>
  <c r="P16" i="25"/>
  <c r="R16" i="25"/>
  <c r="S16" i="25" s="1"/>
  <c r="R13" i="42"/>
  <c r="S13" i="42" s="1"/>
  <c r="P13" i="42"/>
  <c r="P35" i="45"/>
  <c r="R35" i="45"/>
  <c r="S35" i="45" s="1"/>
  <c r="P42" i="45"/>
  <c r="R5" i="25"/>
  <c r="S5" i="25" s="1"/>
  <c r="R5" i="42"/>
  <c r="S5" i="42" s="1"/>
  <c r="Y59" i="44"/>
  <c r="Z59" i="44" s="1"/>
  <c r="P28" i="45"/>
  <c r="O57" i="44"/>
  <c r="Y34" i="45"/>
  <c r="Z34" i="45" s="1"/>
  <c r="O31" i="45"/>
  <c r="P11" i="45"/>
  <c r="O55" i="44"/>
  <c r="O9" i="45"/>
  <c r="P24" i="45"/>
  <c r="O12" i="42"/>
  <c r="O15" i="42"/>
  <c r="Y24" i="42"/>
  <c r="Z24" i="42" s="1"/>
  <c r="P18" i="42"/>
  <c r="R44" i="45"/>
  <c r="S44" i="45" s="1"/>
  <c r="P17" i="42"/>
  <c r="R20" i="45" l="1"/>
  <c r="S20" i="45" s="1"/>
  <c r="R29" i="25"/>
  <c r="S29" i="25" s="1"/>
  <c r="P7" i="42"/>
  <c r="R7" i="42"/>
  <c r="S7" i="42" s="1"/>
  <c r="R21" i="42"/>
  <c r="S21" i="42" s="1"/>
  <c r="R11" i="42"/>
  <c r="S11" i="42" s="1"/>
  <c r="P16" i="42"/>
  <c r="R16" i="42"/>
  <c r="S16" i="42" s="1"/>
  <c r="R8" i="45"/>
  <c r="S8" i="45" s="1"/>
  <c r="P27" i="45"/>
  <c r="R17" i="25"/>
  <c r="S17" i="25" s="1"/>
  <c r="P58" i="44"/>
  <c r="P52" i="44"/>
  <c r="P4" i="25"/>
  <c r="R4" i="25"/>
  <c r="S4" i="25" s="1"/>
  <c r="P8" i="25"/>
  <c r="P26" i="25"/>
  <c r="R26" i="25"/>
  <c r="S26" i="25" s="1"/>
  <c r="R49" i="44"/>
  <c r="S49" i="44" s="1"/>
  <c r="P49" i="44"/>
  <c r="R26" i="44"/>
  <c r="S26" i="44" s="1"/>
  <c r="R30" i="44"/>
  <c r="S30" i="44" s="1"/>
  <c r="P12" i="44"/>
  <c r="R18" i="44"/>
  <c r="S18" i="44" s="1"/>
  <c r="R38" i="44"/>
  <c r="S38" i="44" s="1"/>
  <c r="R42" i="44"/>
  <c r="S42" i="44" s="1"/>
  <c r="P33" i="44"/>
  <c r="R36" i="44"/>
  <c r="S36" i="44" s="1"/>
  <c r="R10" i="44"/>
  <c r="S10" i="44" s="1"/>
  <c r="P16" i="44"/>
  <c r="P24" i="42"/>
  <c r="R24" i="42"/>
  <c r="S24" i="42" s="1"/>
  <c r="R14" i="42"/>
  <c r="S14" i="42" s="1"/>
  <c r="P14" i="42"/>
  <c r="P9" i="42"/>
  <c r="R9" i="42"/>
  <c r="S9" i="42" s="1"/>
  <c r="P20" i="42"/>
  <c r="R20" i="42"/>
  <c r="S20" i="42" s="1"/>
  <c r="P17" i="45"/>
  <c r="R29" i="45"/>
  <c r="S29" i="45" s="1"/>
  <c r="R33" i="45"/>
  <c r="S33" i="45" s="1"/>
  <c r="P16" i="45"/>
  <c r="R34" i="45"/>
  <c r="S34" i="45" s="1"/>
  <c r="R36" i="45"/>
  <c r="S36" i="45" s="1"/>
  <c r="P40" i="45"/>
  <c r="P6" i="45"/>
  <c r="R6" i="45"/>
  <c r="S6" i="45" s="1"/>
  <c r="P23" i="45"/>
  <c r="R23" i="45"/>
  <c r="S23" i="45" s="1"/>
  <c r="P22" i="45"/>
  <c r="R22" i="45"/>
  <c r="S22" i="45" s="1"/>
  <c r="P30" i="45"/>
  <c r="R30" i="45"/>
  <c r="S30" i="45" s="1"/>
  <c r="P21" i="45"/>
  <c r="R21" i="45"/>
  <c r="S21" i="45" s="1"/>
  <c r="P25" i="45"/>
  <c r="R26" i="45"/>
  <c r="S26" i="45" s="1"/>
  <c r="P19" i="45"/>
  <c r="R19" i="45"/>
  <c r="S19" i="45" s="1"/>
  <c r="P56" i="44"/>
  <c r="R29" i="44"/>
  <c r="S29" i="44" s="1"/>
  <c r="R34" i="44"/>
  <c r="S34" i="44" s="1"/>
  <c r="R35" i="44"/>
  <c r="S35" i="44" s="1"/>
  <c r="R41" i="44"/>
  <c r="S41" i="44" s="1"/>
  <c r="R31" i="44"/>
  <c r="S31" i="44" s="1"/>
  <c r="R46" i="44"/>
  <c r="S46" i="44" s="1"/>
  <c r="P46" i="44"/>
  <c r="P9" i="44"/>
  <c r="R9" i="44"/>
  <c r="S9" i="44" s="1"/>
  <c r="P32" i="44"/>
  <c r="P45" i="44"/>
  <c r="R45" i="44"/>
  <c r="S45" i="44" s="1"/>
  <c r="P40" i="44"/>
  <c r="R40" i="44"/>
  <c r="S40" i="44" s="1"/>
  <c r="P43" i="44"/>
  <c r="R43" i="44"/>
  <c r="S43" i="44" s="1"/>
  <c r="R39" i="44"/>
  <c r="S39" i="44" s="1"/>
  <c r="P37" i="44"/>
  <c r="R37" i="44"/>
  <c r="S37" i="44" s="1"/>
  <c r="P44" i="44"/>
  <c r="R44" i="44"/>
  <c r="S44" i="44" s="1"/>
  <c r="R24" i="44"/>
  <c r="S24" i="44" s="1"/>
  <c r="P25" i="44"/>
  <c r="R25" i="44"/>
  <c r="S25" i="44" s="1"/>
  <c r="R19" i="44"/>
  <c r="S19" i="44" s="1"/>
  <c r="P21" i="44"/>
  <c r="R21" i="44"/>
  <c r="S21" i="44" s="1"/>
  <c r="P27" i="44"/>
  <c r="R27" i="44"/>
  <c r="S27" i="44" s="1"/>
  <c r="R28" i="44"/>
  <c r="S28" i="44" s="1"/>
  <c r="R20" i="44"/>
  <c r="S20" i="44" s="1"/>
  <c r="P23" i="44"/>
  <c r="R23" i="44"/>
  <c r="S23" i="44" s="1"/>
  <c r="P22" i="44"/>
  <c r="R22" i="44"/>
  <c r="S22" i="44" s="1"/>
  <c r="R14" i="44"/>
  <c r="S14" i="44" s="1"/>
  <c r="P14" i="44"/>
  <c r="P4" i="44"/>
  <c r="P11" i="44"/>
  <c r="R11" i="44"/>
  <c r="S11" i="44" s="1"/>
  <c r="P6" i="44"/>
  <c r="R6" i="44"/>
  <c r="S6" i="44" s="1"/>
  <c r="R8" i="44"/>
  <c r="S8" i="44" s="1"/>
  <c r="P13" i="44"/>
  <c r="R13" i="44"/>
  <c r="S13" i="44" s="1"/>
  <c r="P51" i="44"/>
  <c r="R51" i="44"/>
  <c r="S51" i="44" s="1"/>
  <c r="P7" i="44"/>
  <c r="R7" i="44"/>
  <c r="S7" i="44" s="1"/>
  <c r="P6" i="25"/>
  <c r="P12" i="25"/>
  <c r="P27" i="25"/>
  <c r="R20" i="25"/>
  <c r="S20" i="25" s="1"/>
  <c r="R19" i="25"/>
  <c r="S19" i="25" s="1"/>
  <c r="P28" i="25"/>
  <c r="R28" i="25"/>
  <c r="S28" i="25" s="1"/>
  <c r="P15" i="42"/>
  <c r="R15" i="42"/>
  <c r="S15" i="42" s="1"/>
  <c r="R12" i="42"/>
  <c r="S12" i="42" s="1"/>
  <c r="P12" i="42"/>
  <c r="P9" i="45"/>
  <c r="R9" i="45"/>
  <c r="S9" i="45" s="1"/>
  <c r="P31" i="45"/>
  <c r="R31" i="45"/>
  <c r="S31" i="45" s="1"/>
  <c r="R55" i="44"/>
  <c r="S55" i="44" s="1"/>
  <c r="P55" i="44"/>
  <c r="P57" i="44"/>
  <c r="R57" i="44"/>
  <c r="S57" i="44" s="1"/>
</calcChain>
</file>

<file path=xl/sharedStrings.xml><?xml version="1.0" encoding="utf-8"?>
<sst xmlns="http://schemas.openxmlformats.org/spreadsheetml/2006/main" count="3856" uniqueCount="873">
  <si>
    <t>Sl. No</t>
  </si>
  <si>
    <t>Asset / Asset group</t>
  </si>
  <si>
    <t>Owner</t>
  </si>
  <si>
    <t>Qty</t>
  </si>
  <si>
    <t>Asset Valuation</t>
  </si>
  <si>
    <t xml:space="preserve">Asset value =(C+I+A)/3 </t>
  </si>
  <si>
    <t>Ranking</t>
  </si>
  <si>
    <t>Confidentiality (C)</t>
  </si>
  <si>
    <t>Integrity (I)</t>
  </si>
  <si>
    <t>Availability(A)</t>
  </si>
  <si>
    <t>Asset Valuation Details (ISMS_AVD_S01)</t>
  </si>
  <si>
    <t>Projector</t>
  </si>
  <si>
    <t>Admin</t>
  </si>
  <si>
    <t>High</t>
  </si>
  <si>
    <t xml:space="preserve">Asset </t>
  </si>
  <si>
    <t>Asset group</t>
  </si>
  <si>
    <t>Business support asset</t>
  </si>
  <si>
    <t>None</t>
  </si>
  <si>
    <t>Risk Severity</t>
  </si>
  <si>
    <t>Proposed Criteria for Risk Treatment</t>
  </si>
  <si>
    <t>LOW</t>
  </si>
  <si>
    <t>MEDIUM</t>
  </si>
  <si>
    <t>HIGH</t>
  </si>
  <si>
    <t>Risk Value</t>
  </si>
  <si>
    <t>Risk Valuation Details</t>
  </si>
  <si>
    <t>Risk Valuation</t>
  </si>
  <si>
    <t>Threat</t>
  </si>
  <si>
    <t>Vulnerability</t>
  </si>
  <si>
    <t>Existing Control</t>
  </si>
  <si>
    <t>Impact
(I)</t>
  </si>
  <si>
    <t>Probability of Occurrence(POO)</t>
  </si>
  <si>
    <t>Risk Value 
RV = AV*I*POO</t>
  </si>
  <si>
    <t>Acceptable</t>
  </si>
  <si>
    <t>Yes / No</t>
  </si>
  <si>
    <t>Action</t>
  </si>
  <si>
    <t>Accept / Mitigate</t>
  </si>
  <si>
    <t>RTP No.</t>
  </si>
  <si>
    <t>Responsibility</t>
  </si>
  <si>
    <t>Risk Owner</t>
  </si>
  <si>
    <t>Risk Treatment</t>
  </si>
  <si>
    <t>Risk Mitigation / Treatment Task</t>
  </si>
  <si>
    <t>ISMS Control No.</t>
  </si>
  <si>
    <t>Proposed Date of Completion</t>
  </si>
  <si>
    <t>Status as on dd/mm/yyyy</t>
  </si>
  <si>
    <t>RTP 01</t>
  </si>
  <si>
    <t>RTP 02</t>
  </si>
  <si>
    <t>Revised Impact</t>
  </si>
  <si>
    <t>RI</t>
  </si>
  <si>
    <t>Revised POO</t>
  </si>
  <si>
    <t>RPOO</t>
  </si>
  <si>
    <t>RRV</t>
  </si>
  <si>
    <t>Remarks</t>
  </si>
  <si>
    <t>Risk Acceptance</t>
  </si>
  <si>
    <t>Risk Mitigation</t>
  </si>
  <si>
    <t>Residual RV</t>
  </si>
  <si>
    <t>Residual Risk Valuation</t>
  </si>
  <si>
    <t>RTP 03</t>
  </si>
  <si>
    <t>Location</t>
  </si>
  <si>
    <t>Hardware Failure</t>
  </si>
  <si>
    <t>Fire</t>
  </si>
  <si>
    <t>Electric Surge</t>
  </si>
  <si>
    <t>Electric Short circuit</t>
  </si>
  <si>
    <t>Equipment failure</t>
  </si>
  <si>
    <t>Improper Maintenance of Equipment</t>
  </si>
  <si>
    <t>Regular preventive maintenance</t>
  </si>
  <si>
    <t>E-Mail</t>
  </si>
  <si>
    <t>Across IIMA</t>
  </si>
  <si>
    <t>Improper Access Control</t>
  </si>
  <si>
    <t>Theft</t>
  </si>
  <si>
    <t>Damage by pests/ rodents</t>
  </si>
  <si>
    <t>Lack of document control</t>
  </si>
  <si>
    <t>Multiple backup copy of document in use</t>
  </si>
  <si>
    <t>Licenses</t>
  </si>
  <si>
    <t>Network admin</t>
  </si>
  <si>
    <t>Visitors</t>
  </si>
  <si>
    <t xml:space="preserve">Residual Risk acceptance </t>
  </si>
  <si>
    <t>Risk Owner Acceptance</t>
  </si>
  <si>
    <t>Availability (A)</t>
  </si>
  <si>
    <t>Remarks in the event of not acceptance</t>
  </si>
  <si>
    <t>IT</t>
  </si>
  <si>
    <t>Resignation / long leaves of reliable resources</t>
  </si>
  <si>
    <t>Unable to resolve user issues on priority</t>
  </si>
  <si>
    <t xml:space="preserve">SOP for functions to be handled </t>
  </si>
  <si>
    <t>Theft of data through USB</t>
  </si>
  <si>
    <t>Unblocked USB ports</t>
  </si>
  <si>
    <t>USB access to be blocked on all devices and provide access only on need basis</t>
  </si>
  <si>
    <t>Breach of logical access</t>
  </si>
  <si>
    <t>Insecure Network Architecture</t>
  </si>
  <si>
    <t>Multiple VLANs created to ensure seggregation in network</t>
  </si>
  <si>
    <t>Unauthorized access</t>
  </si>
  <si>
    <t xml:space="preserve">Theft </t>
  </si>
  <si>
    <t>Storage mis-management</t>
  </si>
  <si>
    <t>P/W mismanagement</t>
  </si>
  <si>
    <t>Data backup mismanagement</t>
  </si>
  <si>
    <t>Lack of physical security controls</t>
  </si>
  <si>
    <t>Data Center (DC) racks</t>
  </si>
  <si>
    <t xml:space="preserve">Physical damage </t>
  </si>
  <si>
    <t>Lack of access controls</t>
  </si>
  <si>
    <t>Access are provided upon approvals</t>
  </si>
  <si>
    <t>User Access Review to be performed periodically</t>
  </si>
  <si>
    <t>Data theft</t>
  </si>
  <si>
    <t>Open USB ports</t>
  </si>
  <si>
    <t>Stringent logical access controls</t>
  </si>
  <si>
    <t>Loss of storage space on the server</t>
  </si>
  <si>
    <t>Logical access to server is restricted to privileged users only</t>
  </si>
  <si>
    <t>Weak P/W controls</t>
  </si>
  <si>
    <t>Lack of periodic backup strategy in place</t>
  </si>
  <si>
    <t>NG Firewall</t>
  </si>
  <si>
    <t>Improper configurations</t>
  </si>
  <si>
    <t>Abuse of admin rights</t>
  </si>
  <si>
    <t>Data Center</t>
  </si>
  <si>
    <t xml:space="preserve">Rust </t>
  </si>
  <si>
    <t xml:space="preserve">Improper maintenance </t>
  </si>
  <si>
    <t xml:space="preserve">Regular maintenance carried out by housekeepers. </t>
  </si>
  <si>
    <t>Handled by skilled and experienced manpower</t>
  </si>
  <si>
    <t>Hardware crash</t>
  </si>
  <si>
    <t>UPS tripping</t>
  </si>
  <si>
    <t>Preventive maintenance of UPS</t>
  </si>
  <si>
    <t>Lack of periodic replacement of old parts</t>
  </si>
  <si>
    <t>Electric suge</t>
  </si>
  <si>
    <t>Hardware failure</t>
  </si>
  <si>
    <t>Outdated OS installed at the end points of IT environment</t>
  </si>
  <si>
    <t>Lack of Patch Updations</t>
  </si>
  <si>
    <t>VAPT conducted on all IT assets</t>
  </si>
  <si>
    <t>RTP 04</t>
  </si>
  <si>
    <t>Lack of technical VAPT being conducted on IT systems</t>
  </si>
  <si>
    <t>Patches are updated through WSUS server</t>
  </si>
  <si>
    <t>RTP 05</t>
  </si>
  <si>
    <t>No outdated OS installed at any of the end points within IIMA</t>
  </si>
  <si>
    <t>RTP 06</t>
  </si>
  <si>
    <t>Latest security patches shall be ensured to be installed on all IT facilities</t>
  </si>
  <si>
    <t>Loss of storage space on the endpoint</t>
  </si>
  <si>
    <t xml:space="preserve">Set a Complex P/W </t>
  </si>
  <si>
    <t>RTP 07</t>
  </si>
  <si>
    <t>Storage devices
(USB / hard drive)</t>
  </si>
  <si>
    <t>Loss of storage devices / theft</t>
  </si>
  <si>
    <t>Carelessness / Accidental</t>
  </si>
  <si>
    <t>Electric short circuit</t>
  </si>
  <si>
    <t>Periodic preventive maintenance of UPS</t>
  </si>
  <si>
    <t>Network Devices
(Routers / switches)</t>
  </si>
  <si>
    <t>Loss or pilferage of documents</t>
  </si>
  <si>
    <t>Improper version use</t>
  </si>
  <si>
    <t>Periodic pest control in place</t>
  </si>
  <si>
    <t>RTP 08</t>
  </si>
  <si>
    <t>All the documents are to be approved and version controlled</t>
  </si>
  <si>
    <t>Contracts, agreements, NDA and SLA…..etc….</t>
  </si>
  <si>
    <t>IT / IS policy, SOPs, process documents</t>
  </si>
  <si>
    <t>Logs / records</t>
  </si>
  <si>
    <t>Data misplace</t>
  </si>
  <si>
    <t>Data loss / theft</t>
  </si>
  <si>
    <t>Access controls / biometrics</t>
  </si>
  <si>
    <t>Software malfunctioning</t>
  </si>
  <si>
    <t xml:space="preserve">Improper handling and maintenance </t>
  </si>
  <si>
    <t>Hardware / device crash</t>
  </si>
  <si>
    <t>Fire fighting systems</t>
  </si>
  <si>
    <t>Malfunctioning of Fire fighting System</t>
  </si>
  <si>
    <t>Dust in Enviorenment</t>
  </si>
  <si>
    <t>Periodical maintenance of fire fighting systems</t>
  </si>
  <si>
    <t>RTP 09</t>
  </si>
  <si>
    <t>Periodic maintenance of fire extinguishers</t>
  </si>
  <si>
    <t>AC/DC Power (UPS/ Power/ DG Set)</t>
  </si>
  <si>
    <t>Malfunctioning of Fire Fighting System</t>
  </si>
  <si>
    <t xml:space="preserve">Air Conditions &amp; Ventilation </t>
  </si>
  <si>
    <t>unencrypted data at rest</t>
  </si>
  <si>
    <t>RTP 10</t>
  </si>
  <si>
    <t>SAP</t>
  </si>
  <si>
    <t>Business application</t>
  </si>
  <si>
    <t>Loss of data / technical failure</t>
  </si>
  <si>
    <t>All internet facing application</t>
  </si>
  <si>
    <t>Data sniffing / data loss</t>
  </si>
  <si>
    <t>Depricated version of encryption in use
Lack of authentication controls</t>
  </si>
  <si>
    <t>Academic software</t>
  </si>
  <si>
    <t>Technical failure</t>
  </si>
  <si>
    <t>Malfunctioning of software</t>
  </si>
  <si>
    <t>No sofware updates available</t>
  </si>
  <si>
    <t>Upgraded version not available</t>
  </si>
  <si>
    <t>Application updated with regular security updates as and when released by OEM</t>
  </si>
  <si>
    <t>Software updated to latest version as and when released by OEM</t>
  </si>
  <si>
    <t>Compatibility isuues with latest OS available</t>
  </si>
  <si>
    <t>Inhouse developed applications are upgraded as and when higher version of OS is launched</t>
  </si>
  <si>
    <t>Continued usage of alumni even after graduating</t>
  </si>
  <si>
    <t>Active E-Mail ID even after graduating</t>
  </si>
  <si>
    <t>Latest updates not installed</t>
  </si>
  <si>
    <t>Latest updates are installed as ad when released by OEM</t>
  </si>
  <si>
    <t>Server crash down</t>
  </si>
  <si>
    <t>Information rights management (IRM) violation</t>
  </si>
  <si>
    <t>Lack of awareness on IRM violations</t>
  </si>
  <si>
    <t>Lack of effective approval mechanism</t>
  </si>
  <si>
    <t>Application unavailability</t>
  </si>
  <si>
    <t>Hardware / OS / service crash</t>
  </si>
  <si>
    <t>Improper configurations of application</t>
  </si>
  <si>
    <t>Interruption in network connectivity</t>
  </si>
  <si>
    <t>Power failure</t>
  </si>
  <si>
    <t xml:space="preserve"> Error in Software Configuration / Uncontrolled changes</t>
  </si>
  <si>
    <t>Improper Configration of Application</t>
  </si>
  <si>
    <t>Server monitoring</t>
  </si>
  <si>
    <t>Handling by skilled manpower
Proper testing</t>
  </si>
  <si>
    <t>Reduntant connectivity system</t>
  </si>
  <si>
    <t>Power Supply through UPS</t>
  </si>
  <si>
    <t>E-Mail unavailability</t>
  </si>
  <si>
    <t>E-Mail configuration corruption</t>
  </si>
  <si>
    <t>Network Connectivity interuption</t>
  </si>
  <si>
    <t>Data leakage</t>
  </si>
  <si>
    <t>Lack of tracking mechanism to monitor E-Mail usage</t>
  </si>
  <si>
    <t>Configuration of email done by skilled persons</t>
  </si>
  <si>
    <t>Power Supply through UPS,</t>
  </si>
  <si>
    <t>AV not updated</t>
  </si>
  <si>
    <t>Patch update missing</t>
  </si>
  <si>
    <t>Network Connectivity interupted</t>
  </si>
  <si>
    <t>Update not effective as the endpoint is not restarted</t>
  </si>
  <si>
    <t>Lack of system hardening for external persons connecting to IIMA network</t>
  </si>
  <si>
    <t>No process for virus / malware check of external systems connecting to IIMA network</t>
  </si>
  <si>
    <t>Network seggregation is in place
Static LAN cabling system in place</t>
  </si>
  <si>
    <t>License count mismatch</t>
  </si>
  <si>
    <t>Improper usage of license</t>
  </si>
  <si>
    <t>All systems are procured with OEM licenses</t>
  </si>
  <si>
    <t>SQL DB server application</t>
  </si>
  <si>
    <t>Loss of Data/ Technical Failure</t>
  </si>
  <si>
    <t>Server crash down/ Error in Use/Unauthorized use</t>
  </si>
  <si>
    <t>Regular patch updates and upgrades installed</t>
  </si>
  <si>
    <t>Irregular assessment 
Irregular updates</t>
  </si>
  <si>
    <t>Regular updates installed periodically</t>
  </si>
  <si>
    <t>MS Office</t>
  </si>
  <si>
    <t>Failure / Hacking</t>
  </si>
  <si>
    <t>Centralised, Only IT team has access to it.</t>
  </si>
  <si>
    <t>Wrong entry of data
By passing or skipping the module steps for faster turn around</t>
  </si>
  <si>
    <t xml:space="preserve">Training on all the modules </t>
  </si>
  <si>
    <t>Training materials</t>
  </si>
  <si>
    <t>Breach of Confidentiality</t>
  </si>
  <si>
    <t>Unauthorized usage / print</t>
  </si>
  <si>
    <t>RTP 11</t>
  </si>
  <si>
    <t>Training material to be identified with proper classification</t>
  </si>
  <si>
    <t>Sensors of fire fighting systems are to be periodically cleaned</t>
  </si>
  <si>
    <t>New Control Required</t>
  </si>
  <si>
    <t>Control Owner</t>
  </si>
  <si>
    <t>No. of Assets</t>
  </si>
  <si>
    <t>Asset type / Asset group</t>
  </si>
  <si>
    <t>Business Unit / Function</t>
  </si>
  <si>
    <t>Asset Owner</t>
  </si>
  <si>
    <t>ICT</t>
  </si>
  <si>
    <t>Head - ICT</t>
  </si>
  <si>
    <t>NA</t>
  </si>
  <si>
    <t>Across IIMA ICT</t>
  </si>
  <si>
    <t>Server Management Team</t>
  </si>
  <si>
    <t>IT Support Team</t>
  </si>
  <si>
    <t>RTP 01 - USB access to be blocked on all devices and provide access only on need basis.</t>
  </si>
  <si>
    <t>RTP - 02 - User Access Review to be performed periodically</t>
  </si>
  <si>
    <t>Asst. Manager - Server Management Team</t>
  </si>
  <si>
    <t>RTP - 05 -Latest security patches shall be ensured to be installed on all IT facilities</t>
  </si>
  <si>
    <t>RTP - 01 - USB access to be blocked on all devices and provide access only on need basis</t>
  </si>
  <si>
    <t>Physical Security</t>
  </si>
  <si>
    <t>RTP - 03 - Strong P/W complexity controls enforced through AD</t>
  </si>
  <si>
    <t>Asst. Manager - Computer Network Team</t>
  </si>
  <si>
    <t>RTP 07 - All the documents are to be approved and version controlled</t>
  </si>
  <si>
    <t>Critical</t>
  </si>
  <si>
    <t>Across IIMA ICT and HR section</t>
  </si>
  <si>
    <t xml:space="preserve">Across IIMA ICT </t>
  </si>
  <si>
    <t>Whether RRV&gt; Acceptable Value</t>
  </si>
  <si>
    <t>Document Control Information</t>
  </si>
  <si>
    <t xml:space="preserve">Classification: </t>
  </si>
  <si>
    <t>Confidential</t>
  </si>
  <si>
    <t>Version:</t>
  </si>
  <si>
    <t xml:space="preserve">Dated: </t>
  </si>
  <si>
    <t>Document No:</t>
  </si>
  <si>
    <t>Version history:</t>
  </si>
  <si>
    <t>Version</t>
  </si>
  <si>
    <t>Dated</t>
  </si>
  <si>
    <t>Effective date</t>
  </si>
  <si>
    <t>Initial document</t>
  </si>
  <si>
    <t>RA-RTP INDEX</t>
  </si>
  <si>
    <t>Sheet No.</t>
  </si>
  <si>
    <t>Sheet Name</t>
  </si>
  <si>
    <t>Type of Doc.</t>
  </si>
  <si>
    <t>INDEX</t>
  </si>
  <si>
    <t>RA SHEETS</t>
  </si>
  <si>
    <t>RA</t>
  </si>
  <si>
    <t>Information Asset Register</t>
  </si>
  <si>
    <t>Asset Group</t>
  </si>
  <si>
    <t>Asset Name</t>
  </si>
  <si>
    <t>No of Assets</t>
  </si>
  <si>
    <t>Asset Location</t>
  </si>
  <si>
    <t>Asset Classificaation</t>
  </si>
  <si>
    <t>Disposal Method</t>
  </si>
  <si>
    <t>Printers and Scanners</t>
  </si>
  <si>
    <t>Server racks</t>
  </si>
  <si>
    <t>IP Telephone</t>
  </si>
  <si>
    <t>Network architecture diagram</t>
  </si>
  <si>
    <t>Shredding of hardcopy and permanent deletion of softcopy</t>
  </si>
  <si>
    <t>Electrical Diagrams</t>
  </si>
  <si>
    <t xml:space="preserve">Electrical maintenance department </t>
  </si>
  <si>
    <t>Cabling  diagram (Data and IP Telephone)</t>
  </si>
  <si>
    <t>Permanent deletion</t>
  </si>
  <si>
    <t>MS windows server (WSUS and AD)</t>
  </si>
  <si>
    <t>Across IIMA ICT and HR</t>
  </si>
  <si>
    <t>Location specified by electrical department</t>
  </si>
  <si>
    <t>HR Assets</t>
  </si>
  <si>
    <t>Asset Register</t>
  </si>
  <si>
    <t>RA - HR Asset</t>
  </si>
  <si>
    <t>RA - IT Assets</t>
  </si>
  <si>
    <t>RA - Software Assets</t>
  </si>
  <si>
    <t>RA -  Process Assets</t>
  </si>
  <si>
    <t>CCTV cameras and NVR</t>
  </si>
  <si>
    <t>Camera - 278
NVR - 8</t>
  </si>
  <si>
    <t>Block chain</t>
  </si>
  <si>
    <t>MOOC servers</t>
  </si>
  <si>
    <t>Ext HDD - ICT - 12
Ext HDD - HR - 1</t>
  </si>
  <si>
    <t>Printer with scanner ICT - 8
Printer with scanner - HR - 1</t>
  </si>
  <si>
    <t>ICT - 25
HR - 1</t>
  </si>
  <si>
    <r>
      <rPr>
        <b/>
        <u/>
        <sz val="8"/>
        <rFont val="Calibri"/>
        <family val="2"/>
      </rPr>
      <t>Switches</t>
    </r>
    <r>
      <rPr>
        <sz val="8"/>
        <rFont val="Calibri"/>
        <family val="2"/>
      </rPr>
      <t xml:space="preserve">
L2 - 288
L3 - 14
Nexus - 2
</t>
    </r>
    <r>
      <rPr>
        <b/>
        <u/>
        <sz val="8"/>
        <rFont val="Calibri"/>
        <family val="2"/>
      </rPr>
      <t>Router</t>
    </r>
    <r>
      <rPr>
        <sz val="8"/>
        <rFont val="Calibri"/>
        <family val="2"/>
      </rPr>
      <t xml:space="preserve">
D-Link - 100</t>
    </r>
  </si>
  <si>
    <t>RTP - 07 - All the documents are to be approved and version controlled</t>
  </si>
  <si>
    <t>Asst. Manage - Computer network</t>
  </si>
  <si>
    <t>Respective department heads in ICT</t>
  </si>
  <si>
    <t>RTP - 08 - Sensors of fire fighting systems are to be periodically cleaned</t>
  </si>
  <si>
    <t>RTP - 09 - Periodic maintenance of fire extinguishers</t>
  </si>
  <si>
    <t>Website - Production and UAT</t>
  </si>
  <si>
    <t>Production - 1
UAT - 1</t>
  </si>
  <si>
    <t>Application Servers - 34
HP SAN switch - 1
HP SAN storage - 3 
Dell AGC Avaya IPT server - 5 in DR Dorm 36
ISE, DHCP and DNS - 3 in DR Dorm 36 (2 servers and 1 storage)
ISE, DHCP and DNS - 2 servers in PDC
HP AGC Avaya IPT servers - 2 in PDC</t>
  </si>
  <si>
    <t>Respective department heads</t>
  </si>
  <si>
    <t>Physical Security Team</t>
  </si>
  <si>
    <t>Disposal as per E-Waste Policy version 1.0 dated 29 October 2024</t>
  </si>
  <si>
    <t>Scrap</t>
  </si>
  <si>
    <t>Vendors/Empanelled agencies / Suppliers/Business Partners</t>
  </si>
  <si>
    <t>First Floor - CC</t>
  </si>
  <si>
    <t xml:space="preserve">First Floor - CC
Computer Network Operations Team </t>
  </si>
  <si>
    <t>Across IIMA ICT
(CC and AV office)</t>
  </si>
  <si>
    <r>
      <rPr>
        <b/>
        <u/>
        <sz val="8"/>
        <rFont val="Calibri"/>
        <family val="2"/>
      </rPr>
      <t>Desktops</t>
    </r>
    <r>
      <rPr>
        <sz val="8"/>
        <rFont val="Calibri"/>
        <family val="2"/>
      </rPr>
      <t xml:space="preserve">
First Floor - Across CC - 28
Ground floor - CC - 2
AV Office - AB1- 1
AV Office AB-2 - 3
AV Office IMDC - 1
AV Office MC - 1
AV Office - KLMDC - 1  
First floor - HR section - 1
</t>
    </r>
    <r>
      <rPr>
        <b/>
        <u/>
        <sz val="8"/>
        <rFont val="Calibri"/>
        <family val="2"/>
      </rPr>
      <t xml:space="preserve">Laptops
</t>
    </r>
    <r>
      <rPr>
        <sz val="8"/>
        <rFont val="Calibri"/>
        <family val="2"/>
      </rPr>
      <t xml:space="preserve">First floor - CC - 11
First floor - HR section - 1
</t>
    </r>
    <r>
      <rPr>
        <b/>
        <u/>
        <sz val="8"/>
        <rFont val="Calibri"/>
        <family val="2"/>
      </rPr>
      <t xml:space="preserve">Tablet
</t>
    </r>
    <r>
      <rPr>
        <sz val="8"/>
        <rFont val="Calibri"/>
        <family val="2"/>
      </rPr>
      <t>First floor - CC - 4
First floor HR section - 1</t>
    </r>
  </si>
  <si>
    <t>Desktop - ICT - 37
laptop - ICT - 11
Tablet - ICT - 4
Desktop - HR - 1
Tablet - HR - 1</t>
  </si>
  <si>
    <t>First floor - Computer Center - 11
AV Office - NC -AB-2- 1
First floor HR section - 1</t>
  </si>
  <si>
    <t>First floor - CC - 8
First floor - HR  1</t>
  </si>
  <si>
    <t>First floor - CC - 18
Ground floor - CC - 1
AV Office NC - AB-2 - 1
AV Office - AB-1- NC -1
AV Office - IMDC-NC-1
AV Office - KLMDC - 1
AV Office - JSW - 1
AV Office - MC-1
First floor - HR  1</t>
  </si>
  <si>
    <t>RTP</t>
  </si>
  <si>
    <t>Grand Total</t>
  </si>
  <si>
    <t>Risk Rating</t>
  </si>
  <si>
    <t>Methodology</t>
  </si>
  <si>
    <t>CRITICAL</t>
  </si>
  <si>
    <t>Data Center (DC) racks in MC and in DR racks in DORM 36</t>
  </si>
  <si>
    <t>Confidentiality</t>
  </si>
  <si>
    <t>Integrity</t>
  </si>
  <si>
    <t>Availability</t>
  </si>
  <si>
    <t>Asset Value</t>
  </si>
  <si>
    <t>Server, Storage, DB and Backup admin</t>
  </si>
  <si>
    <t>Email admin</t>
  </si>
  <si>
    <t>First Floor - CC - HDMS section</t>
  </si>
  <si>
    <t xml:space="preserve">First Floor - CC - Computer Network Team </t>
  </si>
  <si>
    <t xml:space="preserve">IT Support Engineers (Helpdesk) </t>
  </si>
  <si>
    <t>L2 - Switches</t>
  </si>
  <si>
    <t>L3 - Switches</t>
  </si>
  <si>
    <t>Nexus Switches</t>
  </si>
  <si>
    <t>D-Link - Router</t>
  </si>
  <si>
    <t>Application servers</t>
  </si>
  <si>
    <t>Data Centre in MC and DORM 36 (DR)</t>
  </si>
  <si>
    <t>HP SAN switch</t>
  </si>
  <si>
    <t xml:space="preserve">
1
</t>
  </si>
  <si>
    <t>Data Centre in MC</t>
  </si>
  <si>
    <t>HP SAN storage</t>
  </si>
  <si>
    <t>Dell AGC Avaya IP Telephone Exchange Server</t>
  </si>
  <si>
    <t>DORM 36 (DR)</t>
  </si>
  <si>
    <t>Web servers</t>
  </si>
  <si>
    <t xml:space="preserve">3 for ISE, DHCP and DNS 
(2 servers and 1 storage)
</t>
  </si>
  <si>
    <t xml:space="preserve">2 for ISE, DHCP and DNS 
</t>
  </si>
  <si>
    <t>HP AGC Avaya IP Telephone Exchange Server</t>
  </si>
  <si>
    <t>NVR</t>
  </si>
  <si>
    <t>Data Centre in MC and DR in new campus</t>
  </si>
  <si>
    <t>Desktops</t>
  </si>
  <si>
    <t>Laptops</t>
  </si>
  <si>
    <t>Tablets</t>
  </si>
  <si>
    <t>Ext. HDD</t>
  </si>
  <si>
    <t>First floor - Computer Center - 11
AV Office - NC -AB-2- 1</t>
  </si>
  <si>
    <t>Mobile Phones</t>
  </si>
  <si>
    <t>First floor CC - Network Operations Centre</t>
  </si>
  <si>
    <t>Fire extinguishers</t>
  </si>
  <si>
    <t>Gas Based Suppression System</t>
  </si>
  <si>
    <t>aap.iima.ac.in</t>
  </si>
  <si>
    <t>10.200.0.73  in IIMA PDC</t>
  </si>
  <si>
    <t>afpprofiles.iima.ac.in</t>
  </si>
  <si>
    <t>10.200.0.60  in IIMA PDC</t>
  </si>
  <si>
    <t>alumniicard.iima.ac.in</t>
  </si>
  <si>
    <t>appraisal.iima.ac.in</t>
  </si>
  <si>
    <t>10.200.0.40  in IIMA PDC</t>
  </si>
  <si>
    <t>Case Centre App</t>
  </si>
  <si>
    <t>10.200.0.5  in IIMA PDC</t>
  </si>
  <si>
    <t>ccbp.iima.ac.in</t>
  </si>
  <si>
    <t>ccportal.iima.ac.in</t>
  </si>
  <si>
    <t>conference.iima.ac.in</t>
  </si>
  <si>
    <t>coursecatalogue.iima.ac.in</t>
  </si>
  <si>
    <t>10.200.0.49  in IIMA PDC</t>
  </si>
  <si>
    <t>ebs.iima.ac.in</t>
  </si>
  <si>
    <t>10.200.0.48  in IIMA PDC</t>
  </si>
  <si>
    <t>eepvod.iima.ac.in</t>
  </si>
  <si>
    <t>eoieep.iima.ac.in</t>
  </si>
  <si>
    <t>epgdaba.iima.ac.in</t>
  </si>
  <si>
    <t>epgd-aba.iima.ac.in</t>
  </si>
  <si>
    <t>10.200.0.42  in IIMA PDC</t>
  </si>
  <si>
    <t>epgdabafd.iima.ac.in</t>
  </si>
  <si>
    <t>esampark.iima.ac.in</t>
  </si>
  <si>
    <t>10.200.0.59  in IIMA PDC</t>
  </si>
  <si>
    <t>exed.iima.ac.in</t>
  </si>
  <si>
    <t>fabmadm.iima.ac.in</t>
  </si>
  <si>
    <t>fabmgmatadm.iima.ac.in</t>
  </si>
  <si>
    <t>Faculty PCS System</t>
  </si>
  <si>
    <t>202.41.76.41  in IIMA PDC</t>
  </si>
  <si>
    <t>faculty.iima.ac.in</t>
  </si>
  <si>
    <t>facultynewsletter.iima.ac.in</t>
  </si>
  <si>
    <t>fdp.iima.ac.in</t>
  </si>
  <si>
    <t>feedback.iima.ac.in</t>
  </si>
  <si>
    <t>intranet.iima.ac.in</t>
  </si>
  <si>
    <t>LMS - Moodle</t>
  </si>
  <si>
    <t>10.200.0.7  in IIMA PDC</t>
  </si>
  <si>
    <t>LMS for EEP</t>
  </si>
  <si>
    <t>10.200.0.6  in IIMA PDC</t>
  </si>
  <si>
    <t>LMS for Equis</t>
  </si>
  <si>
    <t>192.168.33.98  in IIMA PDC</t>
  </si>
  <si>
    <t>ltp.iima.ac.in</t>
  </si>
  <si>
    <t>onlinemba.iima.ac.in</t>
  </si>
  <si>
    <t>payments.iima.ac.in</t>
  </si>
  <si>
    <t>10.200.0.27  in IIMA PDC</t>
  </si>
  <si>
    <t>pcs.iima.ac.in</t>
  </si>
  <si>
    <t>pgpadm.iima.ac.in</t>
  </si>
  <si>
    <t>pgpfabmproject.iima.ac.in</t>
  </si>
  <si>
    <t>pgpgmatadm.iima.ac.in</t>
  </si>
  <si>
    <t>pgpproject.iima.ac.in</t>
  </si>
  <si>
    <t>pgpx.iima.ac.in</t>
  </si>
  <si>
    <t>phdadmint.iima.ac.in</t>
  </si>
  <si>
    <t>phdadmintest.iima.ac.in</t>
  </si>
  <si>
    <t>10.200.0.56  in IIMA PDC</t>
  </si>
  <si>
    <t>rjmceiblog.iima.ac.in</t>
  </si>
  <si>
    <t>Sampark Application (old)</t>
  </si>
  <si>
    <t>202.41.76.178  in IIMA PDC</t>
  </si>
  <si>
    <t>sao.iima.ac.in</t>
  </si>
  <si>
    <t>seminar.iima.ac.in</t>
  </si>
  <si>
    <t>staffappraisal.iima.ac.in</t>
  </si>
  <si>
    <t>tenders.iima.ac.in</t>
  </si>
  <si>
    <t>vf.iima.ac.in</t>
  </si>
  <si>
    <t>webcafe.iima.ac.in</t>
  </si>
  <si>
    <t>WimWian Website &amp; Other URLs</t>
  </si>
  <si>
    <t>workshops.iima.ac.in</t>
  </si>
  <si>
    <t>www.iima.ae (Dubai Website)</t>
  </si>
  <si>
    <t>ews.iima.ac.in</t>
  </si>
  <si>
    <t>glam.iima.ac.in</t>
  </si>
  <si>
    <t>hpcportal.iima.ac.in</t>
  </si>
  <si>
    <t>mbapgpxprofiles.iima.ac.in</t>
  </si>
  <si>
    <t>onlinembaprofiles.iima.ac.in</t>
  </si>
  <si>
    <t>telephonedir.iima.ac.in</t>
  </si>
  <si>
    <t>Refer Asset Register</t>
  </si>
  <si>
    <t>Changes Made</t>
  </si>
  <si>
    <t>Changes Made By</t>
  </si>
  <si>
    <t>Reviewed By</t>
  </si>
  <si>
    <t>Approved By</t>
  </si>
  <si>
    <t>TBD</t>
  </si>
  <si>
    <t>Medium</t>
  </si>
  <si>
    <t>Asset register and Risk Register updated with all the applications, empanelled vendors and photography assets. 
Designations of resources in HR assets changed from generic to specific. 
Cloud risks added.
SAP team added.
AV technicians, IT support team, SW development team regrouped as per the organization structure.</t>
  </si>
  <si>
    <t>GM - ICT</t>
  </si>
  <si>
    <t>AGM - ICT</t>
  </si>
  <si>
    <t>Manager - ICT</t>
  </si>
  <si>
    <t>Asst. Manager - ICT</t>
  </si>
  <si>
    <t>M/s. Godrej &amp; Boyce Mfg. Co. Ltd.</t>
  </si>
  <si>
    <t>M/s. Havi India LLP</t>
  </si>
  <si>
    <t>M/s. Hi-tech Audio Systems Pvt. Ltd.</t>
  </si>
  <si>
    <t>M/s. Shubh Sanchar India Pvt Ltd</t>
  </si>
  <si>
    <t xml:space="preserve">M/s. Jitesh Sound </t>
  </si>
  <si>
    <t>M/s. Hitesh Dekate</t>
  </si>
  <si>
    <t xml:space="preserve">M/s. Ashwini Vision </t>
  </si>
  <si>
    <t>M/s. Ayushmi Creations</t>
  </si>
  <si>
    <t>M/s. P Square Solutions (Ahmedabad)</t>
  </si>
  <si>
    <t>M/s. Compex Technologies Pvt. Ltd. </t>
  </si>
  <si>
    <t>M/s. Hewlett Packard Enterprise Pvt. Ltd.</t>
  </si>
  <si>
    <t>M/s. DSS Global Infocom</t>
  </si>
  <si>
    <t>M/s. Stratx Simulations</t>
  </si>
  <si>
    <t>Vendors/Suppliers/Business Partners (Including but not limited to the list below)</t>
  </si>
  <si>
    <t>M/s. Gurusons Communications Pvt. Ltd.</t>
  </si>
  <si>
    <t>M/s. Larvik Engineering Consultants Pvt. Ltd.</t>
  </si>
  <si>
    <t>M/s. S N Industrial Consultants</t>
  </si>
  <si>
    <t>M/s. Uttkrist Innovations Private Limited</t>
  </si>
  <si>
    <t>M/s. AMPL Optimization Inc.</t>
  </si>
  <si>
    <t>M/s. Frontline Systems Inc.</t>
  </si>
  <si>
    <t>M/s. Turnitin India Private Limited</t>
  </si>
  <si>
    <t>M/s. SAS Institute (India) Pvt. Ltd.</t>
  </si>
  <si>
    <t>M/s. Qualtrics LLC</t>
  </si>
  <si>
    <t>M/s. QuestionPro Inc.</t>
  </si>
  <si>
    <t>M/s. Systech Technocraft Services Pvt. Ltd.</t>
  </si>
  <si>
    <t>M/s. Ishan Netsol Pvt. Ltd.</t>
  </si>
  <si>
    <t>M/s. Bharat Sanchar Nigam Ltd</t>
  </si>
  <si>
    <t>M/s. Alterego Technology Ltd.</t>
  </si>
  <si>
    <t>M/s. Shivaami</t>
  </si>
  <si>
    <t>M/s. Prime Infoserv LLP</t>
  </si>
  <si>
    <t>M/s. NIXI</t>
  </si>
  <si>
    <t>M/s. Telebu Communications LLP</t>
  </si>
  <si>
    <t>M/s. Mailchimp</t>
  </si>
  <si>
    <t>M/s. Accurate PMS Pvt Ltd</t>
  </si>
  <si>
    <t xml:space="preserve">M/s. Silver Touch </t>
  </si>
  <si>
    <t>M/s. Serpent Consulting Services Pvt Ltd.</t>
  </si>
  <si>
    <t>M/s. Learniphi TechnologY Pvt. Ltd.</t>
  </si>
  <si>
    <t>M/s. Cognoscente Invnted Pvt Ltd.</t>
  </si>
  <si>
    <t>M/s. Sunmax Corporation Pvt. LTD.</t>
  </si>
  <si>
    <t>M/s. Advance Infotech Services</t>
  </si>
  <si>
    <t>M/s. DOTCAD PRIVATE LIMITED</t>
  </si>
  <si>
    <t>M/s. Microlink Solutions Pvt. Ltd</t>
  </si>
  <si>
    <t xml:space="preserve">M/s Yashh techncolaogies </t>
  </si>
  <si>
    <t>M/s. OpenAI</t>
  </si>
  <si>
    <t>M/s. FlutterFlow inc</t>
  </si>
  <si>
    <t>M/s. AGC Networks Ltd (Now  Black Box Limited)</t>
  </si>
  <si>
    <t xml:space="preserve">M/s. GoDaddy </t>
  </si>
  <si>
    <t>M/s. Tasjeel.ae</t>
  </si>
  <si>
    <t>M/s. Ernet india</t>
  </si>
  <si>
    <t>M/s. Saleforce.com india P.  Ltd.</t>
  </si>
  <si>
    <t>M/s. PACE COMPUTER CONSULTANTS PVT. LTD.</t>
  </si>
  <si>
    <t>M/s. Winspire educational solutions P. Ltd.</t>
  </si>
  <si>
    <t>M/s. Delogico Systems Private Limited</t>
  </si>
  <si>
    <t>M/s. Allied Boston Consultants India Pvt. Ltd.</t>
  </si>
  <si>
    <t>Stata</t>
  </si>
  <si>
    <t>Matlab</t>
  </si>
  <si>
    <t>Minitab</t>
  </si>
  <si>
    <t>AtlasTi</t>
  </si>
  <si>
    <t>SPSS</t>
  </si>
  <si>
    <t>AMOS</t>
  </si>
  <si>
    <t>Automod</t>
  </si>
  <si>
    <t>Arena</t>
  </si>
  <si>
    <t>Overleaf</t>
  </si>
  <si>
    <t>Qualtrics</t>
  </si>
  <si>
    <t>Question Pro</t>
  </si>
  <si>
    <t>Mathematica</t>
  </si>
  <si>
    <t>AMPL</t>
  </si>
  <si>
    <t>SAS</t>
  </si>
  <si>
    <t>Dropbox</t>
  </si>
  <si>
    <t>Analytic Solver</t>
  </si>
  <si>
    <t>Turnitin</t>
  </si>
  <si>
    <t>Rosetta Stone</t>
  </si>
  <si>
    <t>Windows 10, Office 365 and other OS</t>
  </si>
  <si>
    <t>Camera</t>
  </si>
  <si>
    <t>Mouse</t>
  </si>
  <si>
    <t>Memory Card</t>
  </si>
  <si>
    <t>Studio Light</t>
  </si>
  <si>
    <t>Wired Mike</t>
  </si>
  <si>
    <t>Wireless Mike</t>
  </si>
  <si>
    <t>Power Bank</t>
  </si>
  <si>
    <t>Tripod Head</t>
  </si>
  <si>
    <t>TRIPOD STAND</t>
  </si>
  <si>
    <t>Process (Service) Assets</t>
  </si>
  <si>
    <t>Projector-AV</t>
  </si>
  <si>
    <t>Manual Camera</t>
  </si>
  <si>
    <t>Tracking Camera</t>
  </si>
  <si>
    <t>LED TV</t>
  </si>
  <si>
    <t>DOC Camera</t>
  </si>
  <si>
    <t>Video Capture Device</t>
  </si>
  <si>
    <t>Video Conferencing System</t>
  </si>
  <si>
    <t>Teleprompter System</t>
  </si>
  <si>
    <t>4K Projector</t>
  </si>
  <si>
    <t>Sound bar With Camera</t>
  </si>
  <si>
    <t>Smart Screen</t>
  </si>
  <si>
    <t>Audio-Visual (AV)Assets</t>
  </si>
  <si>
    <t>SN</t>
  </si>
  <si>
    <t xml:space="preserve">First Floor - Across CC - 28
Ground floor - CC - 2
AV Office - AB1- 1
AV Office AB-2 - 3
AV Office IMDC - 1
AV Office MC - 1
AV Office - KLMDC - 1
First floor - HR section - 1  
</t>
  </si>
  <si>
    <t>First floor - CC - 11
First floor - HR section - 1</t>
  </si>
  <si>
    <t xml:space="preserve">12
</t>
  </si>
  <si>
    <t>First floor - CC - 4
First floor HR section - 1</t>
  </si>
  <si>
    <t xml:space="preserve">5
</t>
  </si>
  <si>
    <t>First floor CC - 7
First floor - HR - 1</t>
  </si>
  <si>
    <t>Software Assets (License based, annual subscription model)</t>
  </si>
  <si>
    <t>AWS Cloud</t>
  </si>
  <si>
    <t>Camera accessories</t>
  </si>
  <si>
    <t>SR - 18 AB-2 AV Office</t>
  </si>
  <si>
    <t>A5 Committee Room</t>
  </si>
  <si>
    <t>P.P.GUPTA AUDITORIUM - 1
B-8 &amp; 9 New Faculty Block - 1
Board Room, AB-2 - 2
Conference Room AB-2  - 1
Digital Marketing Office - 1
Director Office - 2
Dorm 36 New Campus - 1
Dorm 38 New Campus - 4
JSW Synd 1,2,3,4,7,8 - 1 Each
KLMDC Synd 1,2,3,4 - 1 Each
KLMDC CR-1 - 2 
Library Syndicate JSW-SOPP - 1
Meeting Room AB-2, 101 and 102 - 1 Each
PGP ABA Office - 1
RJM Auditorium Hall - 3
RJM Studio - 1
SR 2A, 2B MC - 1 each</t>
  </si>
  <si>
    <t>P.P.GUPTA AUDITORIUM - 1
RJM Auditorium Hall - 1
IMDC SR-1 &amp; SR-2 - 1 Each
AB-2 - Synd Room 33, 34, 35 and 9 to 29  - 1 Each</t>
  </si>
  <si>
    <t>MC - CR1 to 5 &amp; CR12 - 1 Each
JSW GF, SF and TF - 1 Each
CR-1 KLMDC - 1 Each
RJM Studio - 1</t>
  </si>
  <si>
    <t>A5 Committee Room - 1
Auditorium AB-2 - 1
AV Testing Room-MC - 4
AV Office IMDC Building - 1
Board Room, AB-2 - 1
CR07 to CR20, NC - 5 Each
IMDC CR1 &amp; CR2 - 3 Each
IMDC SR1 &amp; SR2 - 2 Each
PP Gupta Auditorium - 2
JSW Forum area, GF, SF, TF - 2 Each
SR 1, 3,4,5 MC - 1 Each
SR 7, 8, 9 NC - 1 Each
SR AB-2 10 to 13 - 1 Each
KLMDC conference room, CR-1  - 2 Each
KLMDC Audi -1 &amp; 2 - 1 Each
RJM Auditorium Hall &amp; CR FF - 1 Each
AV Office new campus - 1
CR 1 to CR 6 MC - 1 Each</t>
  </si>
  <si>
    <t>JSW Forum Area</t>
  </si>
  <si>
    <t>AB-2, Synd Room 9 to 29, 33, 34 and 35  - 1 Each
JSW, Synd Room 1,2,3,4,7 &amp; 8 - 1 Each
B8 &amp; B9 - Faculty block - 1</t>
  </si>
  <si>
    <t>A5 Committee Room - 1
Auditorium AB-2 - 1
Board Room, AB-2 - 1
CR07 to CR20, NC - 1 Each
IMDC CR1 &amp; CR2 - 1 Each
PP Gupta Auditorium - 1
SR AB-2 10 to 13 - 1 Each
CR 6 MC - 1</t>
  </si>
  <si>
    <t>CR 7 to CR 11, NC - 1 Each
IMDC CR1 and CR2 - 1 Each
RJM Auditorium Hall - 1
RJM Studio - 1</t>
  </si>
  <si>
    <t>RJM Auditorium - 1</t>
  </si>
  <si>
    <t>AV Testing Room - MC - 1
Conference Room AB-2 - 1
AB-2, CR13 to CR 20 - 1 Each
KLMDC CR1 - 1
RJMCEI CR - 1</t>
  </si>
  <si>
    <t>15 licenses</t>
  </si>
  <si>
    <t>10 licenses</t>
  </si>
  <si>
    <t>70 licenses</t>
  </si>
  <si>
    <t>3 licenses</t>
  </si>
  <si>
    <t>30 licenses</t>
  </si>
  <si>
    <t>1 licenses</t>
  </si>
  <si>
    <t>50 licenses</t>
  </si>
  <si>
    <t>41 licenses</t>
  </si>
  <si>
    <t>2268 Licenses</t>
  </si>
  <si>
    <t>150 Licenses</t>
  </si>
  <si>
    <t>324 Licenses</t>
  </si>
  <si>
    <t>Adobe Creative Cloud</t>
  </si>
  <si>
    <t>4 licenses</t>
  </si>
  <si>
    <t>5 licenses</t>
  </si>
  <si>
    <t>CorelDRAW Graphiscs Suite Enterprise License</t>
  </si>
  <si>
    <t>Veem Backup Agnet</t>
  </si>
  <si>
    <t>Google</t>
  </si>
  <si>
    <t>SMS gateway for Wi-Fi Guest users</t>
  </si>
  <si>
    <t>Red Hat Linux</t>
  </si>
  <si>
    <t>20000 Licenses</t>
  </si>
  <si>
    <t>SUSE Linux</t>
  </si>
  <si>
    <t xml:space="preserve">Canva Pro Team </t>
  </si>
  <si>
    <t>Smart PLS 4</t>
  </si>
  <si>
    <t>2 licenses</t>
  </si>
  <si>
    <t>M/s Vodafone Idea Ltd.</t>
  </si>
  <si>
    <t>Mailchimp</t>
  </si>
  <si>
    <t>Delogico / Scheduler</t>
  </si>
  <si>
    <t>Chat GPT</t>
  </si>
  <si>
    <t>6 licenses</t>
  </si>
  <si>
    <t>Flutter Flow</t>
  </si>
  <si>
    <t>LIWC</t>
  </si>
  <si>
    <t>Winspire</t>
  </si>
  <si>
    <t>Zoom</t>
  </si>
  <si>
    <t>Kaspersky</t>
  </si>
  <si>
    <t>Articulate 360 Teams</t>
  </si>
  <si>
    <t>Shutter Stock</t>
  </si>
  <si>
    <t>Nitro PDF</t>
  </si>
  <si>
    <t>32 licenses</t>
  </si>
  <si>
    <t>RocketReach</t>
  </si>
  <si>
    <t>Autocad</t>
  </si>
  <si>
    <t>Tableau</t>
  </si>
  <si>
    <t xml:space="preserve">Skynet placement automation </t>
  </si>
  <si>
    <t>SQL DB application</t>
  </si>
  <si>
    <t>IIMA</t>
  </si>
  <si>
    <t>AGM-ICT</t>
  </si>
  <si>
    <t>Head-ICT</t>
  </si>
  <si>
    <t xml:space="preserve">2
</t>
  </si>
  <si>
    <t>Server, Storage, DB, and Backup admin</t>
  </si>
  <si>
    <t xml:space="preserve">Asst. Manager - Server Management Team </t>
  </si>
  <si>
    <t xml:space="preserve">1. Long leaves
2. Resignations </t>
  </si>
  <si>
    <t>1. Disclosure of proprietary information 
2. Breach of informaiton 
3.Joining Competitor Organization</t>
  </si>
  <si>
    <t>1. Unauthorized Absence
2. Attrition</t>
  </si>
  <si>
    <t>1. Unethical practises
2. Carelessness
3. Poaching by competitor</t>
  </si>
  <si>
    <t xml:space="preserve">1.  Effective leave management policy, distribution of work and POA to other peers in the event of key emergency decisions.
2. Notice Period, IT access restrictions , Physical access controls </t>
  </si>
  <si>
    <t>1. Execution of NDA 
2. Restricted access &amp; Control to sensitive information.
3. Restriction clause for joining competitors</t>
  </si>
  <si>
    <t xml:space="preserve">1.  Effective leave management policy, distribution of work.
2. Notice Period, IT access restrictions , Physical access controls </t>
  </si>
  <si>
    <t xml:space="preserve">1.  Effective leave management policy, distribution of work, having backup resource
2. Notice Period, IT access restrictions , Physical access controls </t>
  </si>
  <si>
    <t xml:space="preserve">1.  Effective leave management policy, Train other resources in the team as backup
2. Notice Period, IT access restrictions , Physical access controls </t>
  </si>
  <si>
    <t>TL - IT Support</t>
  </si>
  <si>
    <t>First Floor - CC
HDMS / IT Support section</t>
  </si>
  <si>
    <t xml:space="preserve">Manager - ICTOA </t>
  </si>
  <si>
    <t>Asst. Manager - Network Operations Team</t>
  </si>
  <si>
    <t>Audio Visual Technicians /  telecom engineers / executives / Photographer</t>
  </si>
  <si>
    <t>IP Telephony  engineer - 1
Audio Visual technicians - 9
Photographer - 1
IPT Engineer - 1</t>
  </si>
  <si>
    <t xml:space="preserve">1. Loss of integrity 
2. Unavailability in production environment
</t>
  </si>
  <si>
    <t>IT Support Engineers</t>
  </si>
  <si>
    <t xml:space="preserve">Audio Visual Technicians - 9
Photographer - 1
Executive - 1
IPT Engineer - 1
</t>
  </si>
  <si>
    <r>
      <rPr>
        <b/>
        <u/>
        <sz val="8"/>
        <rFont val="Calibri"/>
        <family val="2"/>
      </rPr>
      <t>AV Technicians</t>
    </r>
    <r>
      <rPr>
        <sz val="8"/>
        <rFont val="Calibri"/>
        <family val="2"/>
      </rPr>
      <t xml:space="preserve">
AV office - AB-1 - 2, 
AV Office - AB-2 - 2 
AV Office - IMDC
- 2
AV Office - KLMDC - 1
AV Office - JSW - 1
AV Office - MC - 1
</t>
    </r>
    <r>
      <rPr>
        <b/>
        <sz val="8"/>
        <rFont val="Calibri"/>
        <family val="2"/>
      </rPr>
      <t>Photographer</t>
    </r>
    <r>
      <rPr>
        <sz val="8"/>
        <rFont val="Calibri"/>
        <family val="2"/>
      </rPr>
      <t xml:space="preserve"> - AV Office - AB-2
</t>
    </r>
    <r>
      <rPr>
        <b/>
        <sz val="8"/>
        <rFont val="Calibri"/>
        <family val="2"/>
      </rPr>
      <t>Executive</t>
    </r>
    <r>
      <rPr>
        <sz val="8"/>
        <rFont val="Calibri"/>
        <family val="2"/>
      </rPr>
      <t xml:space="preserve"> - 1  
</t>
    </r>
    <r>
      <rPr>
        <b/>
        <sz val="8"/>
        <rFont val="Calibri"/>
        <family val="2"/>
      </rPr>
      <t>IPT Engineer</t>
    </r>
    <r>
      <rPr>
        <sz val="8"/>
        <rFont val="Calibri"/>
        <family val="2"/>
      </rPr>
      <t xml:space="preserve"> - Network operations team - FF -CC
</t>
    </r>
  </si>
  <si>
    <t xml:space="preserve">First floor - CC HDMS team - 4
AV Office - NC - IMDC - 1 </t>
  </si>
  <si>
    <t>SOP for functions to be handled so that any other resource can also perform the operations to ensure continuity in services.</t>
  </si>
  <si>
    <t>SOP for functions to be handled so that skilled resources can perform the operations to ensure business continuity.</t>
  </si>
  <si>
    <t>Manager - ICTOA</t>
  </si>
  <si>
    <t>1. Redundant IT support engineers in place to ensure uninterruption in services.
2. Notice Period</t>
  </si>
  <si>
    <t>1. Redundant techinical support engineers in place to ensure uninterruption in services.
2. Notice Period.</t>
  </si>
  <si>
    <t>Software developers / SAP executives</t>
  </si>
  <si>
    <r>
      <t>S/W developers -</t>
    </r>
    <r>
      <rPr>
        <b/>
        <u/>
        <sz val="8"/>
        <rFont val="Calibri"/>
        <family val="2"/>
      </rPr>
      <t xml:space="preserve">
</t>
    </r>
    <r>
      <rPr>
        <sz val="8"/>
        <rFont val="Calibri"/>
        <family val="2"/>
      </rPr>
      <t>First floor - CC - 5
SAP Executives - GF - CC - 3</t>
    </r>
  </si>
  <si>
    <t>Audio Visual Technicians /  IP Telecom engineers / executives / Photographer</t>
  </si>
  <si>
    <t xml:space="preserve">8
</t>
  </si>
  <si>
    <t>AV Technicians
AV office - AB-1 - 2, 
AV Office - AB-2 - 2 
AV Office - IMDC
- 2
AV Office - KLMDC - 1
AV Office - JSW - 1
AV Office - MC - 1
Photographer - AV Office - AB-2 
Executive - 1 
IPT Engineer - Network operations team - FF -CC</t>
  </si>
  <si>
    <t>S/W developers -
First floor - CC -SW development team - 5
SAP Executives - GF - CC - 3</t>
  </si>
  <si>
    <t>1. Redundant SW developers / SAP executives  in place to ensure uninterruption in services.
2. Notice period</t>
  </si>
  <si>
    <t>Software developers - Manager - SW development
SAP executives - AGM - ERP</t>
  </si>
  <si>
    <t>1. Destruction of assets / equipment.
2. Theft of assets / equipment.</t>
  </si>
  <si>
    <t>1. Physical security controls - guards 
2. Round the clock CCTV surveillance</t>
  </si>
  <si>
    <t>Managers - ICT</t>
  </si>
  <si>
    <t>Asst. Managers - ICT</t>
  </si>
  <si>
    <t xml:space="preserve">IT Assets - Network Devices
</t>
  </si>
  <si>
    <t xml:space="preserve">IT Assets - Servers and storage
</t>
  </si>
  <si>
    <t>IT Assets - Endpoints</t>
  </si>
  <si>
    <t>1. Switch configured as per manual
2. Configurations handled by skilled manpower</t>
  </si>
  <si>
    <t>1. Power supply is through UPS. 
2. MCB is placed to check electirc surge and trip
3. Proper earthing provided by skilled man power</t>
  </si>
  <si>
    <t>1. Periodic PM conducted and ensured to check that replacements are made as and when required.
2. AMC in place with an empanelled vendor.</t>
  </si>
  <si>
    <t xml:space="preserve">
Fortigate 600E - 1
</t>
  </si>
  <si>
    <t>1. Fire
2. Mishandling by authorised / unauthorised individual</t>
  </si>
  <si>
    <t>1. Unavailability of audit trials
2. Privileged access rights</t>
  </si>
  <si>
    <t>1. Physical security controls - guards
2. Biometric access control to DC 
3. Round the clock CCTV surveillance</t>
  </si>
  <si>
    <t>1. Audit logs are enabled and stored for sufficient period of time.
2. Privileged access rights are given only on need basis</t>
  </si>
  <si>
    <t xml:space="preserve">1. Configuration set by skilled manpower. 
2. Periodic configuration review done. </t>
  </si>
  <si>
    <t>1. PW in place for logging in.  
2. MFA in place for changing PW</t>
  </si>
  <si>
    <t>RTP - 03 - Strong P/W complexity controls enforced</t>
  </si>
  <si>
    <t>Strong P/W complexity controls enforced</t>
  </si>
  <si>
    <t>Improper handling</t>
  </si>
  <si>
    <t>RTP - 04 - Identified vulnerabilities to be mitigated and Revalidation of VAPT to be conducted in timely manner</t>
  </si>
  <si>
    <t>Identified vulnerabilities to be mitigated and Revalidation of VAPT to be conducted in timely manner</t>
  </si>
  <si>
    <t xml:space="preserve">Outdated OS installed </t>
  </si>
  <si>
    <t>Periodic VAPT conducted on OS and all the OS and respective patches are updated regularly</t>
  </si>
  <si>
    <t>1. Power supply is through UPS. 
2. MCB is placed to check electirc surge and trip.
3. Proper earthing provided.</t>
  </si>
  <si>
    <t>Regular backup taken as per the schedule through the Veeam agent</t>
  </si>
  <si>
    <t>1. Lack of physical security controls. 
2. Carelessness of user</t>
  </si>
  <si>
    <t>1. Physical security controls - guards.
2. Round the clock CCTV surveillance.
3. User responsibility / penalty clause for loss of endpoints due to user carelessness.</t>
  </si>
  <si>
    <t>RTP - 06 - Fire Extingusihers with valid expiry date shall be placed across IIMA with regular periodic service</t>
  </si>
  <si>
    <t>Fire Extingusihers with valid expiry date shall be placed across IIMA with regular periodic service</t>
  </si>
  <si>
    <t>RTP - 05 - Latest security patches shall be installed on all endpoints</t>
  </si>
  <si>
    <t>1. Users educated on clean desk and clear screen policy and to delete unwanted files.
2. IT support engineer available for any services of the endpoints.</t>
  </si>
  <si>
    <t xml:space="preserve">IT Assets - Storage devices
</t>
  </si>
  <si>
    <t>IT Assets - Communication devices</t>
  </si>
  <si>
    <t>1. Fire fighting controls in place, Fire proof cables used, MCB in place, Fire Fighting Equipments in place, No smoking Zone ensured.
2. Physical access restriction to unauthorised individual. Handling by trained individual.</t>
  </si>
  <si>
    <t>Clause on action in the event of loss of devices at users end in place</t>
  </si>
  <si>
    <t>ICT - 7
HR - 1</t>
  </si>
  <si>
    <t>Manager - Network Operations Team</t>
  </si>
  <si>
    <t>IT Assets - Diagrams</t>
  </si>
  <si>
    <t>First floor - Computer Center
Electrical Maintenance Dept.</t>
  </si>
  <si>
    <t>Use of improper version</t>
  </si>
  <si>
    <t>1. Documents stored in locked almirahs/ cupboards.
2. Access restricted to team members only.
3. Multiple hardcopies in place as backup</t>
  </si>
  <si>
    <t>1. Multiple backup copy of document in use.
2. Softcopy of all the latest version of drawings available.</t>
  </si>
  <si>
    <t>1. Document access restricted to team members only
2. Round the clock CCTV monitoring
3. Physical security guards at the campus entrance</t>
  </si>
  <si>
    <t>All inhouse developed  applications</t>
  </si>
  <si>
    <t>Network devices
(NG Firewall)</t>
  </si>
  <si>
    <t>Servers and storage
(Server rack)</t>
  </si>
  <si>
    <t>Servers and storage</t>
  </si>
  <si>
    <t>Endpoints
(Desktops, Laptops and tablets)</t>
  </si>
  <si>
    <t>Endpoints
(Printers and scanners)</t>
  </si>
  <si>
    <t>Communication devices
(IP telephone)</t>
  </si>
  <si>
    <t>Communication devices
(Mobile Phones)</t>
  </si>
  <si>
    <t>Diagrams
(Network archietecture diagram, electrical diagram and Cabling diagrams etc.)</t>
  </si>
  <si>
    <t>Academic Software 
(Node based software - COTS with campus license)</t>
  </si>
  <si>
    <t>Academic Applications (Network based software - COTS)</t>
  </si>
  <si>
    <t>Business Software 
(License based, annual subscription model)</t>
  </si>
  <si>
    <r>
      <t xml:space="preserve">Latest standard of encryption used for the data in transit
Stronger authentication controls </t>
    </r>
    <r>
      <rPr>
        <sz val="8"/>
        <rFont val="Calibri"/>
        <family val="2"/>
      </rPr>
      <t>with 2FA in place</t>
    </r>
  </si>
  <si>
    <t>Manager - Software Development</t>
  </si>
  <si>
    <t>Academic Software
(Key based software COTS)</t>
  </si>
  <si>
    <t>Academic Software 
(License based, annual subscription model)</t>
  </si>
  <si>
    <t>Dedicated resource in place to initiate subscription on time</t>
  </si>
  <si>
    <t>Manager - Server Management Team</t>
  </si>
  <si>
    <t>Regular maintenance of server and storage devices.
Cluster arrangement of servers to ensure continuity of services.</t>
  </si>
  <si>
    <t>Mistake proofing alerts and locks provisioned for skipping approval mechanism</t>
  </si>
  <si>
    <t>AGM - ERP</t>
  </si>
  <si>
    <t>Auto patch update once system gets connected to internet and institute's network</t>
  </si>
  <si>
    <t>1. Admin rights controlled.  
2. User cannot make changes to the system.</t>
  </si>
  <si>
    <t>1. Documents stored in locked almirahs/ cupboards.
2. Access restricted to team members only</t>
  </si>
  <si>
    <t>1. Document access restricted to team members only.
2. Round the clock CCTV monitoring.
3. Physical security guards at the campus entrance.</t>
  </si>
  <si>
    <t>1. Physical security guards at entrance.
2. Round the clock CCTV surveillance</t>
  </si>
  <si>
    <t>1. Power supply is through UPS. MCB is placed to check electirc surge and trip.
2. Proper earthing provided.
3. Preventive maintenance of UPS.</t>
  </si>
  <si>
    <t xml:space="preserve">1. Handling by skilled manpower.
2. Proper testing provided.
3. Periodic preventive maintenance. </t>
  </si>
  <si>
    <t xml:space="preserve">1. Handling by skilled manpower.
2. Proper testing. </t>
  </si>
  <si>
    <t>1. Power supply is through UPS. MCB is placed to check electirc surge and trip.
2. Proper earthing provided.
3. Preventive maintenance of UPS</t>
  </si>
  <si>
    <t xml:space="preserve">1. Handling by skilled manpower. 
2. Proper testing. 
3. Periodic preventive maintenance. </t>
  </si>
  <si>
    <t>1. Proper earthing provided
2. Timely preventive maintenance</t>
  </si>
  <si>
    <t>1. Fire proof cables. 
2. MCB.
3. Fire Fighting Equipments.
4. No smoking Zone</t>
  </si>
  <si>
    <t>1. Perodic maintenance of FEs
2. Regular testing / timely refilling of Fes</t>
  </si>
  <si>
    <t>Academic SW 
(Network based software - COTS)</t>
  </si>
  <si>
    <t>Academic SW  
(Node based software - COTS with campus license)</t>
  </si>
  <si>
    <t>Academic SW  
(Key based software)</t>
  </si>
  <si>
    <t>Academic SW 
(License based, annual subscription model)</t>
  </si>
  <si>
    <t>Business SW 
(License based, annual subscription model)</t>
  </si>
  <si>
    <t>Inhouse developed applications</t>
  </si>
  <si>
    <t>Applications Hosted on cloud</t>
  </si>
  <si>
    <r>
      <t xml:space="preserve">Business Software 
(License based, annual subscription model)
</t>
    </r>
    <r>
      <rPr>
        <b/>
        <sz val="8"/>
        <rFont val="Calibri"/>
        <family val="2"/>
        <scheme val="minor"/>
      </rPr>
      <t>SAP</t>
    </r>
  </si>
  <si>
    <r>
      <t xml:space="preserve">Business Software 
(License based, annual subscription model)
</t>
    </r>
    <r>
      <rPr>
        <b/>
        <sz val="8"/>
        <rFont val="Calibri"/>
        <family val="2"/>
        <scheme val="minor"/>
      </rPr>
      <t>E-Mail</t>
    </r>
  </si>
  <si>
    <r>
      <t xml:space="preserve">Business Software 
(License based, annual subscription model)
</t>
    </r>
    <r>
      <rPr>
        <b/>
        <sz val="8"/>
        <rFont val="Calibri"/>
        <family val="2"/>
        <scheme val="minor"/>
      </rPr>
      <t>Antivirus</t>
    </r>
  </si>
  <si>
    <r>
      <t>Business Software 
(License based, annual subscription model)</t>
    </r>
    <r>
      <rPr>
        <b/>
        <sz val="8"/>
        <rFont val="Calibri"/>
        <family val="2"/>
        <scheme val="minor"/>
      </rPr>
      <t xml:space="preserve">
MS windows server 
(WSUS and AD)</t>
    </r>
  </si>
  <si>
    <r>
      <t xml:space="preserve">Business Software 
(License based, annual subscription model)
</t>
    </r>
    <r>
      <rPr>
        <b/>
        <sz val="8"/>
        <rFont val="Calibri"/>
        <family val="2"/>
        <scheme val="minor"/>
      </rPr>
      <t>Windows 10 and other OS</t>
    </r>
  </si>
  <si>
    <r>
      <t xml:space="preserve">Business Software 
(License based, annual subscription model)
</t>
    </r>
    <r>
      <rPr>
        <b/>
        <sz val="8"/>
        <rFont val="Calibri"/>
        <family val="2"/>
        <scheme val="minor"/>
      </rPr>
      <t>MS Office</t>
    </r>
  </si>
  <si>
    <r>
      <t xml:space="preserve">Applications hosted on cloud
</t>
    </r>
    <r>
      <rPr>
        <b/>
        <sz val="8"/>
        <rFont val="Calibri"/>
        <family val="2"/>
        <scheme val="minor"/>
      </rPr>
      <t>Block chain</t>
    </r>
  </si>
  <si>
    <r>
      <t xml:space="preserve">Applications hosted on cloud
</t>
    </r>
    <r>
      <rPr>
        <b/>
        <sz val="8"/>
        <rFont val="Calibri"/>
        <family val="2"/>
        <scheme val="minor"/>
      </rPr>
      <t>Website - Production and UAT</t>
    </r>
  </si>
  <si>
    <r>
      <t xml:space="preserve">Applications hosted on cloud
</t>
    </r>
    <r>
      <rPr>
        <b/>
        <sz val="8"/>
        <rFont val="Calibri"/>
        <family val="2"/>
        <scheme val="minor"/>
      </rPr>
      <t>MOOC servers</t>
    </r>
  </si>
  <si>
    <t>Photography Assets</t>
  </si>
  <si>
    <t>1. Unskilled photographer
2. Poor Lighting
3. Outdated software used for editing</t>
  </si>
  <si>
    <t>1. Skilled photographer in place.
2. Good quality studio light and tripods used.
3. Updated software installed and used for editing.</t>
  </si>
  <si>
    <t>All the pictures are placed in a DB with proper access control and only people with need are given access to this DB. Copy of the pictures are shared with the organizers</t>
  </si>
  <si>
    <t>Yes</t>
  </si>
  <si>
    <t>Accept</t>
  </si>
  <si>
    <t>Unauthorized access / data breach / theft / loss of photographs</t>
  </si>
  <si>
    <t>Poor quality photos</t>
  </si>
  <si>
    <t>AV Assets</t>
  </si>
  <si>
    <t>Malfunctioning of video conferencing units / teleprompter</t>
  </si>
  <si>
    <t>Malfunctioning of sound bar with camera</t>
  </si>
  <si>
    <t xml:space="preserve">Malfunctioning of projectors in classrooms / auditoriums
</t>
  </si>
  <si>
    <t xml:space="preserve">Malfunctioning of tracking cameras / Doc cameras
</t>
  </si>
  <si>
    <t>Malfunctioning of sound systems / receivers / transmitters</t>
  </si>
  <si>
    <t>Physical damage</t>
  </si>
  <si>
    <t>Hardware failure
Technical malfunctioning
Physical damage
Unavailability of consumables / accessories during the seminars/classes</t>
  </si>
  <si>
    <t>Technical failures</t>
  </si>
  <si>
    <t>1. AV technicians are allocated across the campus in all CRs and SRs to ensure proper working of all equipment before commencement of classes / seminars.
2. At least one AV technician is placed at the entry of classrooms / seminar rooms / auditoriums always for immediate technical assistance in the event of any malfunctioning.
3. AMC in place for all the AV assets in CRs/SRs with an empanelled vendor.</t>
  </si>
  <si>
    <t>1. Availabilityo of SRs in redundancy to ensure continued availability of services.
2. AMC in place for all the AV assets in CRs/SRs with an empanelled vendor.</t>
  </si>
  <si>
    <t>1. Fire
2. Mishandling by authorised / unauthorised individual.
3. Electric Surge</t>
  </si>
  <si>
    <t>1. Fire fighting controls in place, Fire proof cables used, MCB in place, Fire Fighting Equipments in place, No smoking Zone ensured.
2. Physical access restriction to unauthorised individual. Handling by trained individual.
3. Power from UPS to arrest power surge.</t>
  </si>
  <si>
    <t>Inadequate location and data residency in the cloud</t>
  </si>
  <si>
    <t>Uncontrolled copying</t>
  </si>
  <si>
    <t xml:space="preserve">Unauthorized changes </t>
  </si>
  <si>
    <t>Undetected or misinterpreted events</t>
  </si>
  <si>
    <t>Unauthorized Access (Logical)</t>
  </si>
  <si>
    <t>1. Lack of defined cloud security policy / procedure and lack of control implementation.
2. Inadequate review of Cloud Service Provider (CSP) compliance with security requirements for data storage and processing.</t>
  </si>
  <si>
    <t>1. Absence of change management procedure
2. Lack of contractual restriction to protect confidential data.</t>
  </si>
  <si>
    <t>1. A documented and implemented Cloud Security Standard that is applicable to all cloud-based agreements is in place.
2. Written agreements exist with CSP to include, but not limited to the following requirements: locations of data storage, business continuity and disaster recovery, data privacy, confidentiality and information sharing, access to data, encryption, data portability, and data retention; right to audit; etc.</t>
  </si>
  <si>
    <t>1. Absence of Asset Labelling/Data classification of information.
2. Unauthorized data copy/ transfer /download through E-mail/ USB/Hand Phone.</t>
  </si>
  <si>
    <t>IIMA has formally defined and implemented Information Classification Policy. Information assets have been classified based on their value, importance, criticality.</t>
  </si>
  <si>
    <t>No</t>
  </si>
  <si>
    <t>Mitigate</t>
  </si>
  <si>
    <t>1. A documented change management procedure is in place for all the changes done in the production environment.
2. A contractual clause is put in place to protect confidential data.</t>
  </si>
  <si>
    <t xml:space="preserve">1. All the audit logs are enabled and stored as required.
2. Awareness training is provided periodically to all the IT users at IIMA.
</t>
  </si>
  <si>
    <t>1. Inaccurate configuration of audit security logs.
2. Lack of or insufficient knowledge of new security threats, protection mechanisms.</t>
  </si>
  <si>
    <t>1. Lack of logical access management policy / procedure and lack of access control implemented.
2. Lack of review of access privileges. 
3. Lack of privilege account management.
4. Absence of Operating system / application level security Patch management.
5. Poor Password Management
6. Root Access with the cloud service provider.</t>
  </si>
  <si>
    <t>1. Access control is in place and all the access are provided only on need basis.
2. NA
3. NA
4. All OS are maintained up to date and all the security patches are applied as and when released by the OEM.
5. NA
6. NA</t>
  </si>
  <si>
    <t>RTP 12</t>
  </si>
  <si>
    <t xml:space="preserve">A proper clause to be added in the agreement with Cloud Service Provider on the root access. </t>
  </si>
  <si>
    <t>A.5.23</t>
  </si>
  <si>
    <t>A.5.15 and A.5.18</t>
  </si>
  <si>
    <t>A.5.17</t>
  </si>
  <si>
    <t>A.8.8</t>
  </si>
  <si>
    <t>A.7.5</t>
  </si>
  <si>
    <t>A.5.33</t>
  </si>
  <si>
    <t>A.6.3 and A.5.33</t>
  </si>
  <si>
    <t>Data Center (DC) racks in MC and in DR site racks in DORM 36</t>
  </si>
  <si>
    <t>Subscription not renewed on time</t>
  </si>
  <si>
    <t>IT Assets</t>
  </si>
  <si>
    <t>Software Assets</t>
  </si>
  <si>
    <t>Process / Service Assets</t>
  </si>
  <si>
    <t>Risk Assessment Summary</t>
  </si>
  <si>
    <t>Asset type</t>
  </si>
  <si>
    <t>Total</t>
  </si>
  <si>
    <t>1.0</t>
  </si>
  <si>
    <t>A.7.1 and A.8.1</t>
  </si>
  <si>
    <t>RTP - 10 - Training material to be identified with proper classification</t>
  </si>
  <si>
    <t xml:space="preserve">All the servers and stoage in HCI are encrypted. </t>
  </si>
  <si>
    <t xml:space="preserve">RTP - 02 - User Access Review to be performed periodically.
RTP - 03 - Strong P/W complexity controls enforced.
RTP - 11 - A proper clause to be added in the agreement with Cloud Service Provider on the root access. 
</t>
  </si>
  <si>
    <r>
      <rPr>
        <b/>
        <sz val="10"/>
        <rFont val="Calibri"/>
        <family val="2"/>
        <scheme val="minor"/>
      </rPr>
      <t>Acceptable level of risk</t>
    </r>
    <r>
      <rPr>
        <sz val="10"/>
        <rFont val="Calibri"/>
        <family val="2"/>
        <scheme val="minor"/>
      </rPr>
      <t xml:space="preserve">
(No risk treatment action required, but needs to be monitored and evaluated periodically in case the risk materializes)</t>
    </r>
  </si>
  <si>
    <r>
      <rPr>
        <b/>
        <sz val="10"/>
        <rFont val="Calibri"/>
        <family val="2"/>
        <scheme val="minor"/>
      </rPr>
      <t>95-188</t>
    </r>
    <r>
      <rPr>
        <sz val="10"/>
        <rFont val="Calibri"/>
        <family val="2"/>
        <scheme val="minor"/>
      </rPr>
      <t xml:space="preserve">
(Next 25% of the maximum RV)</t>
    </r>
  </si>
  <si>
    <r>
      <rPr>
        <b/>
        <sz val="10"/>
        <rFont val="Calibri"/>
        <family val="2"/>
        <scheme val="minor"/>
      </rPr>
      <t>Unacceptable level of risk, needs mitigation over an agreed period</t>
    </r>
    <r>
      <rPr>
        <sz val="10"/>
        <rFont val="Calibri"/>
        <family val="2"/>
        <scheme val="minor"/>
      </rPr>
      <t xml:space="preserve"> 
(typically within 6 months, based on constraints). Needs to be monitored and evaluated periodically in case the risk materializes.</t>
    </r>
  </si>
  <si>
    <r>
      <rPr>
        <b/>
        <sz val="10"/>
        <rFont val="Calibri"/>
        <family val="2"/>
        <scheme val="minor"/>
      </rPr>
      <t>189-282</t>
    </r>
    <r>
      <rPr>
        <sz val="10"/>
        <rFont val="Calibri"/>
        <family val="2"/>
        <scheme val="minor"/>
      </rPr>
      <t xml:space="preserve">
(Next 25% of the maximum RV)</t>
    </r>
  </si>
  <si>
    <r>
      <rPr>
        <b/>
        <sz val="10"/>
        <rFont val="Calibri"/>
        <family val="2"/>
        <scheme val="minor"/>
      </rPr>
      <t xml:space="preserve">Unacceptable level of risk; requires time-bound mitigation plan 
</t>
    </r>
    <r>
      <rPr>
        <sz val="10"/>
        <rFont val="Calibri"/>
        <family val="2"/>
        <scheme val="minor"/>
      </rPr>
      <t>(typically implement mitigation controls within 4 to 8 weeks). Needs to be closely monitored and evaluated frequently in case the risk materializes.</t>
    </r>
  </si>
  <si>
    <r>
      <rPr>
        <b/>
        <sz val="10"/>
        <rFont val="Calibri"/>
        <family val="2"/>
        <scheme val="minor"/>
      </rPr>
      <t xml:space="preserve">283-375
</t>
    </r>
    <r>
      <rPr>
        <sz val="10"/>
        <rFont val="Calibri"/>
        <family val="2"/>
        <scheme val="minor"/>
      </rPr>
      <t>(Last 25% of the maximum RV)</t>
    </r>
  </si>
  <si>
    <r>
      <rPr>
        <b/>
        <sz val="10"/>
        <rFont val="Calibri"/>
        <family val="2"/>
        <scheme val="minor"/>
      </rPr>
      <t>Unacceptable level of risk; mitigation required urgently as risk is critical</t>
    </r>
    <r>
      <rPr>
        <sz val="10"/>
        <rFont val="Calibri"/>
        <family val="2"/>
        <scheme val="minor"/>
      </rPr>
      <t xml:space="preserve">
 (typically implement mitigation controls at earliest without any undue delay).</t>
    </r>
  </si>
  <si>
    <r>
      <rPr>
        <b/>
        <sz val="8"/>
        <rFont val="Calibri"/>
        <family val="2"/>
        <scheme val="minor"/>
      </rPr>
      <t>Data</t>
    </r>
    <r>
      <rPr>
        <sz val="8"/>
        <rFont val="Calibri"/>
        <family val="2"/>
        <scheme val="minor"/>
      </rPr>
      <t xml:space="preserve">
(In transit and rest)</t>
    </r>
  </si>
  <si>
    <t>All type of applications</t>
  </si>
  <si>
    <t>Data not encrypted during transit.
Data at rest not encrypted.</t>
  </si>
  <si>
    <t>Admin access is only with the authorized privileged users.</t>
  </si>
  <si>
    <t>RTP - 12 - Data in transit and data at rest to be encrypted</t>
  </si>
  <si>
    <t>Manager - Software Development Team</t>
  </si>
  <si>
    <t>Data in trasit and data at rest to be encrypted for all the applications where the personal are keyed.</t>
  </si>
  <si>
    <t>A.8.26</t>
  </si>
  <si>
    <t>Software Development Team</t>
  </si>
  <si>
    <r>
      <rPr>
        <b/>
        <u/>
        <sz val="10"/>
        <color indexed="8"/>
        <rFont val="Calibri"/>
        <family val="2"/>
        <scheme val="minor"/>
      </rPr>
      <t>IT Support Engineers</t>
    </r>
    <r>
      <rPr>
        <sz val="10"/>
        <color indexed="8"/>
        <rFont val="Calibri"/>
        <family val="2"/>
        <scheme val="minor"/>
      </rPr>
      <t xml:space="preserve"> 
First floor - CC HDMS team - 4
AV Office - NC - IMDC - 1 </t>
    </r>
  </si>
  <si>
    <t>Low</t>
  </si>
  <si>
    <t>CCTV Cameras - 278
NVR - 8</t>
  </si>
  <si>
    <t>Poor/ inadequate visitor monitoring &amp; access controls.
Entry to unauthorized areas</t>
  </si>
  <si>
    <t>Poor/ inadequate visitor monitoring &amp; access controls
Entry to unauthorized areas</t>
  </si>
  <si>
    <t>RTP - 13 - Physical entry of individuals to be restricted only to the authorized areas through access control by the way of biometric access authentication.</t>
  </si>
  <si>
    <t>Physical entry of individuals to be restricted only to the authorized areas through access control by the way of biometric access authentication.</t>
  </si>
  <si>
    <t>RTP - 13</t>
  </si>
  <si>
    <t>A.7.2</t>
  </si>
  <si>
    <r>
      <rPr>
        <b/>
        <sz val="10"/>
        <rFont val="Calibri"/>
        <family val="2"/>
        <scheme val="minor"/>
      </rPr>
      <t>3- 94</t>
    </r>
    <r>
      <rPr>
        <sz val="10"/>
        <rFont val="Calibri"/>
        <family val="2"/>
        <scheme val="minor"/>
      </rPr>
      <t xml:space="preserve">
</t>
    </r>
    <r>
      <rPr>
        <b/>
        <sz val="10"/>
        <rFont val="Calibri"/>
        <family val="2"/>
        <scheme val="minor"/>
      </rPr>
      <t>(</t>
    </r>
    <r>
      <rPr>
        <sz val="10"/>
        <rFont val="Calibri"/>
        <family val="2"/>
        <scheme val="minor"/>
      </rPr>
      <t>Initial 25% of the maximum RV</t>
    </r>
    <r>
      <rPr>
        <b/>
        <sz val="10"/>
        <rFont val="Calibri"/>
        <family val="2"/>
        <scheme val="minor"/>
      </rPr>
      <t>)</t>
    </r>
  </si>
  <si>
    <t>Asset value AV=(C+I+A)</t>
  </si>
  <si>
    <t>No of Vulnerability Associated with Assets</t>
  </si>
  <si>
    <t>Cover Page</t>
  </si>
  <si>
    <t>Summary</t>
  </si>
  <si>
    <t>Calculation of Asset Value - AV</t>
  </si>
  <si>
    <t>1 - Negligible</t>
  </si>
  <si>
    <t>2 - Low</t>
  </si>
  <si>
    <t>3 Medium</t>
  </si>
  <si>
    <t>4 - High</t>
  </si>
  <si>
    <t>5 - Very High</t>
  </si>
  <si>
    <t>Confidentiality
(C)</t>
  </si>
  <si>
    <t>Integrity
(I)</t>
  </si>
  <si>
    <t xml:space="preserve">Availability (A)
(Impact of unavailability) </t>
  </si>
  <si>
    <t>Asset Value (AV)
(C+I+A)</t>
  </si>
  <si>
    <t>Min AV - 3
Max AV - 15</t>
  </si>
  <si>
    <t>Impact Value
(IV)</t>
  </si>
  <si>
    <t>1 - Impact is on individual</t>
  </si>
  <si>
    <t>2 - Impact is on a team</t>
  </si>
  <si>
    <t>3 - Impact is on entire IT department</t>
  </si>
  <si>
    <t>5 - Impact of threat is on other educational institutions</t>
  </si>
  <si>
    <t>1 - Unlikely to Occur</t>
  </si>
  <si>
    <t>2 - May be once in a year</t>
  </si>
  <si>
    <t>3 - May be once in 6 months</t>
  </si>
  <si>
    <t>4 - Frequently, once in a month</t>
  </si>
  <si>
    <t>5 - Multiple times in a month</t>
  </si>
  <si>
    <t>Probability of Occurrence
(POO)</t>
  </si>
  <si>
    <t>Risk Value
RV = AV*IV*POO</t>
  </si>
  <si>
    <t>4 - Impact is on entire IIMA</t>
  </si>
  <si>
    <t>Min RV = 3
Max RV = 375</t>
  </si>
  <si>
    <t>Calculation of Risk Value - RV</t>
  </si>
  <si>
    <t>Asset Category Wise Risk Assessment Summary</t>
  </si>
  <si>
    <t>Risk Treatment Plan
(RTP)</t>
  </si>
  <si>
    <t>Revised Impact Value
(RIV)</t>
  </si>
  <si>
    <t>Revised Probability of Occurrence
(RPOO)</t>
  </si>
  <si>
    <t>Revised Risk Value
RRV = AV*RIV*RPOO</t>
  </si>
  <si>
    <t>Min RRV = 3
Max RRV = 375</t>
  </si>
  <si>
    <t>Methodology added in summary sheet
Category wise risk assessment summary removed
Cosmetic changes in RA sheets so that filters can be applied wherever required.</t>
  </si>
  <si>
    <t xml:space="preserve"> </t>
  </si>
  <si>
    <t>XYZ-ICT-IMS-IRR-01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</si>
</sst>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2409]dd\ mmmm\,\ yyyy;@"/>
    <numFmt numFmtId="166" formatCode="[$-F800]dddd\,\ mmmm\ dd\,\ yyyy"/>
  </numFmts>
  <fonts count="42" x14ac:knownFonts="1">
    <font>
      <sz val="10"/>
      <name val="Arial"/>
    </font>
    <font>
      <b/>
      <sz val="8"/>
      <name val="Arial"/>
      <family val="2"/>
    </font>
    <font>
      <sz val="8"/>
      <name val="Arial"/>
      <family val="2"/>
    </font>
    <font>
      <b/>
      <sz val="10"/>
      <name val="Arial"/>
      <family val="2"/>
    </font>
    <font>
      <sz val="10"/>
      <name val="Arial"/>
      <family val="2"/>
    </font>
    <font>
      <sz val="10"/>
      <name val="Garamond"/>
      <family val="1"/>
    </font>
    <font>
      <sz val="11"/>
      <name val="Book Antiqua"/>
      <family val="1"/>
    </font>
    <font>
      <u/>
      <sz val="11"/>
      <color indexed="12"/>
      <name val="Book Antiqua"/>
      <family val="1"/>
    </font>
    <font>
      <sz val="10"/>
      <name val="Arial"/>
      <family val="2"/>
      <charset val="1"/>
    </font>
    <font>
      <sz val="10"/>
      <color indexed="8"/>
      <name val="Arial"/>
      <family val="2"/>
    </font>
    <font>
      <sz val="10"/>
      <color indexed="8"/>
      <name val="Arial"/>
      <family val="2"/>
    </font>
    <font>
      <sz val="8"/>
      <name val="Arial"/>
      <family val="2"/>
    </font>
    <font>
      <sz val="8"/>
      <name val="Calibri"/>
      <family val="2"/>
    </font>
    <font>
      <b/>
      <u/>
      <sz val="8"/>
      <name val="Calibri"/>
      <family val="2"/>
    </font>
    <font>
      <b/>
      <sz val="8"/>
      <name val="Calibri"/>
      <family val="2"/>
    </font>
    <font>
      <sz val="11"/>
      <color theme="1"/>
      <name val="Calibri"/>
      <family val="2"/>
      <scheme val="minor"/>
    </font>
    <font>
      <b/>
      <sz val="11"/>
      <color theme="0"/>
      <name val="Calibri"/>
      <family val="2"/>
      <scheme val="minor"/>
    </font>
    <font>
      <u/>
      <sz val="10"/>
      <color theme="10"/>
      <name val="Arial"/>
      <family val="2"/>
    </font>
    <font>
      <b/>
      <sz val="11"/>
      <color theme="1"/>
      <name val="Calibri"/>
      <family val="2"/>
      <scheme val="minor"/>
    </font>
    <font>
      <sz val="12"/>
      <name val="Calibri"/>
      <family val="2"/>
      <scheme val="minor"/>
    </font>
    <font>
      <b/>
      <sz val="12"/>
      <name val="Calibri"/>
      <family val="2"/>
      <scheme val="minor"/>
    </font>
    <font>
      <sz val="12"/>
      <color indexed="8"/>
      <name val="Calibri"/>
      <family val="2"/>
      <scheme val="minor"/>
    </font>
    <font>
      <sz val="11"/>
      <name val="Calibri"/>
      <family val="2"/>
      <scheme val="minor"/>
    </font>
    <font>
      <b/>
      <sz val="8"/>
      <name val="Calibri"/>
      <family val="2"/>
      <scheme val="minor"/>
    </font>
    <font>
      <sz val="8"/>
      <name val="Calibri"/>
      <family val="2"/>
      <scheme val="minor"/>
    </font>
    <font>
      <sz val="8"/>
      <color theme="1"/>
      <name val="Calibri"/>
      <family val="2"/>
      <scheme val="minor"/>
    </font>
    <font>
      <b/>
      <sz val="14"/>
      <color theme="1"/>
      <name val="Arial"/>
      <family val="2"/>
    </font>
    <font>
      <sz val="10"/>
      <color rgb="FF0070C0"/>
      <name val="Calibri"/>
      <family val="2"/>
      <scheme val="minor"/>
    </font>
    <font>
      <u/>
      <sz val="10"/>
      <color theme="10"/>
      <name val="Calibri"/>
      <family val="2"/>
      <scheme val="minor"/>
    </font>
    <font>
      <sz val="10"/>
      <color theme="1"/>
      <name val="Calibri"/>
      <family val="2"/>
      <scheme val="minor"/>
    </font>
    <font>
      <sz val="10"/>
      <color rgb="FF980000"/>
      <name val="Calibri"/>
      <family val="2"/>
      <scheme val="minor"/>
    </font>
    <font>
      <b/>
      <sz val="11"/>
      <color rgb="FF980000"/>
      <name val="Calibri"/>
      <family val="2"/>
      <scheme val="minor"/>
    </font>
    <font>
      <b/>
      <sz val="11"/>
      <color rgb="FF0070C0"/>
      <name val="Arial"/>
      <family val="2"/>
    </font>
    <font>
      <sz val="10"/>
      <name val="Calibri"/>
      <family val="2"/>
      <scheme val="minor"/>
    </font>
    <font>
      <b/>
      <sz val="10"/>
      <name val="Calibri"/>
      <family val="2"/>
      <scheme val="minor"/>
    </font>
    <font>
      <b/>
      <sz val="18"/>
      <color theme="8" tint="-0.499984740745262"/>
      <name val="Calibri"/>
      <family val="2"/>
      <scheme val="minor"/>
    </font>
    <font>
      <b/>
      <sz val="10"/>
      <color theme="6" tint="0.79998168889431442"/>
      <name val="Calibri"/>
      <family val="2"/>
      <scheme val="minor"/>
    </font>
    <font>
      <b/>
      <u/>
      <sz val="10"/>
      <color indexed="8"/>
      <name val="Calibri"/>
      <family val="2"/>
      <scheme val="minor"/>
    </font>
    <font>
      <sz val="10"/>
      <color indexed="8"/>
      <name val="Calibri"/>
      <family val="2"/>
      <scheme val="minor"/>
    </font>
    <font>
      <sz val="10"/>
      <color rgb="FF000000"/>
      <name val="Calibri"/>
      <family val="2"/>
      <scheme val="minor"/>
    </font>
    <font>
      <b/>
      <sz val="15"/>
      <name val="Calibri"/>
      <family val="2"/>
      <scheme val="minor"/>
    </font>
    <font>
      <b/>
      <sz val="20"/>
      <name val="Calibri"/>
      <family val="2"/>
      <scheme val="minor"/>
    </font>
  </fonts>
  <fills count="16">
    <fill>
      <patternFill patternType="none"/>
    </fill>
    <fill>
      <patternFill patternType="gray125"/>
    </fill>
    <fill>
      <patternFill patternType="solid">
        <fgColor indexed="47"/>
        <bgColor indexed="64"/>
      </patternFill>
    </fill>
    <fill>
      <patternFill patternType="solid">
        <fgColor indexed="22"/>
        <bgColor indexed="64"/>
      </patternFill>
    </fill>
    <fill>
      <patternFill patternType="solid">
        <fgColor rgb="FFC0C0C0"/>
        <bgColor indexed="64"/>
      </patternFill>
    </fill>
    <fill>
      <patternFill patternType="solid">
        <fgColor rgb="FFFFCC99"/>
        <bgColor indexed="64"/>
      </patternFill>
    </fill>
    <fill>
      <patternFill patternType="solid">
        <fgColor rgb="FFFFFF00"/>
        <bgColor indexed="64"/>
      </patternFill>
    </fill>
    <fill>
      <patternFill patternType="solid">
        <fgColor theme="0" tint="-0.14999847407452621"/>
        <bgColor indexed="64"/>
      </patternFill>
    </fill>
    <fill>
      <patternFill patternType="solid">
        <fgColor rgb="FF99CCFF"/>
        <bgColor rgb="FF99CCFF"/>
      </patternFill>
    </fill>
    <fill>
      <patternFill patternType="solid">
        <fgColor rgb="FFEEECE1"/>
        <bgColor rgb="FFEEECE1"/>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theme="2"/>
        <bgColor indexed="64"/>
      </patternFill>
    </fill>
    <fill>
      <patternFill patternType="solid">
        <fgColor theme="8" tint="-0.499984740745262"/>
        <bgColor indexed="64"/>
      </patternFill>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indexed="64"/>
      </right>
      <top/>
      <bottom/>
      <diagonal/>
    </border>
    <border>
      <left/>
      <right/>
      <top/>
      <bottom style="thin">
        <color rgb="FF000000"/>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6">
    <xf numFmtId="0" fontId="0" fillId="0" borderId="0"/>
    <xf numFmtId="43" fontId="6" fillId="0" borderId="0" applyFont="0" applyFill="0" applyBorder="0" applyAlignment="0" applyProtection="0"/>
    <xf numFmtId="0" fontId="1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15" fillId="0" borderId="0"/>
    <xf numFmtId="0" fontId="4" fillId="0" borderId="0"/>
    <xf numFmtId="0" fontId="4"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15" fillId="0" borderId="0"/>
    <xf numFmtId="0" fontId="4" fillId="0" borderId="0"/>
    <xf numFmtId="0" fontId="4" fillId="0" borderId="0"/>
    <xf numFmtId="0" fontId="15"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256">
    <xf numFmtId="0" fontId="0" fillId="0" borderId="0" xfId="0"/>
    <xf numFmtId="0" fontId="0" fillId="0" borderId="0" xfId="0"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8" fillId="0" borderId="0" xfId="0" applyFont="1" applyAlignment="1">
      <alignment horizontal="center" vertical="center" wrapText="1"/>
    </xf>
    <xf numFmtId="0" fontId="5" fillId="0" borderId="0" xfId="0" applyFont="1" applyAlignment="1">
      <alignment horizontal="center" vertical="center"/>
    </xf>
    <xf numFmtId="164" fontId="0" fillId="0" borderId="0" xfId="0" applyNumberFormat="1" applyAlignment="1">
      <alignment horizontal="center" vertical="center"/>
    </xf>
    <xf numFmtId="0" fontId="19" fillId="0" borderId="0" xfId="0" applyFont="1" applyAlignment="1">
      <alignment horizontal="center" vertical="center"/>
    </xf>
    <xf numFmtId="0" fontId="19" fillId="0" borderId="0" xfId="5" applyFont="1" applyAlignment="1">
      <alignment horizontal="center" vertical="center"/>
    </xf>
    <xf numFmtId="0" fontId="19" fillId="0" borderId="0" xfId="5" applyFont="1" applyAlignment="1">
      <alignment horizontal="left" vertical="center"/>
    </xf>
    <xf numFmtId="0" fontId="20" fillId="2" borderId="4" xfId="0" applyFont="1" applyFill="1" applyBorder="1" applyAlignment="1">
      <alignment horizontal="center" vertical="center"/>
    </xf>
    <xf numFmtId="0" fontId="16" fillId="4" borderId="1" xfId="0" applyFont="1" applyFill="1" applyBorder="1" applyAlignment="1">
      <alignment horizontal="center" vertical="center" wrapText="1"/>
    </xf>
    <xf numFmtId="2" fontId="16" fillId="4" borderId="1" xfId="0" applyNumberFormat="1" applyFont="1" applyFill="1" applyBorder="1" applyAlignment="1">
      <alignment horizontal="center" vertical="center" wrapText="1"/>
    </xf>
    <xf numFmtId="0" fontId="21" fillId="0" borderId="0" xfId="0" applyFont="1" applyAlignment="1">
      <alignment horizontal="left" vertical="top" wrapText="1"/>
    </xf>
    <xf numFmtId="0" fontId="9" fillId="0" borderId="0" xfId="0" applyFont="1" applyAlignment="1">
      <alignment vertical="top"/>
    </xf>
    <xf numFmtId="0" fontId="4" fillId="0" borderId="0" xfId="0" applyFont="1" applyAlignment="1">
      <alignment vertical="top"/>
    </xf>
    <xf numFmtId="0" fontId="19" fillId="0" borderId="0" xfId="0" applyFont="1" applyAlignment="1">
      <alignment horizontal="left" vertical="top"/>
    </xf>
    <xf numFmtId="0" fontId="21" fillId="0" borderId="0" xfId="0" applyFont="1" applyAlignment="1">
      <alignment vertical="top" wrapText="1"/>
    </xf>
    <xf numFmtId="0" fontId="22" fillId="0" borderId="1" xfId="0" applyFont="1" applyBorder="1" applyAlignment="1">
      <alignment horizontal="left" vertical="top"/>
    </xf>
    <xf numFmtId="0" fontId="20" fillId="2" borderId="5" xfId="0" applyFont="1" applyFill="1" applyBorder="1" applyAlignment="1">
      <alignment horizontal="center" vertical="center"/>
    </xf>
    <xf numFmtId="0" fontId="20" fillId="2" borderId="6" xfId="0" applyFont="1" applyFill="1" applyBorder="1" applyAlignment="1">
      <alignment horizontal="center" vertical="center"/>
    </xf>
    <xf numFmtId="0" fontId="23" fillId="3" borderId="1" xfId="0" applyFont="1" applyFill="1" applyBorder="1" applyAlignment="1">
      <alignment horizontal="center" vertical="center" wrapText="1"/>
    </xf>
    <xf numFmtId="0" fontId="23" fillId="3" borderId="2" xfId="0" applyFont="1" applyFill="1" applyBorder="1" applyAlignment="1">
      <alignment horizontal="center" vertical="center" wrapText="1"/>
    </xf>
    <xf numFmtId="0" fontId="23" fillId="2" borderId="3" xfId="0" applyFont="1" applyFill="1" applyBorder="1" applyAlignment="1">
      <alignment horizontal="center" vertical="center" wrapText="1"/>
    </xf>
    <xf numFmtId="0" fontId="23" fillId="5" borderId="3" xfId="0" applyFont="1" applyFill="1" applyBorder="1" applyAlignment="1">
      <alignment horizontal="center" vertical="center" wrapText="1"/>
    </xf>
    <xf numFmtId="2" fontId="23" fillId="5" borderId="3" xfId="0" applyNumberFormat="1" applyFont="1" applyFill="1" applyBorder="1" applyAlignment="1">
      <alignment horizontal="center" vertical="center" wrapText="1"/>
    </xf>
    <xf numFmtId="2" fontId="23" fillId="5" borderId="7" xfId="0" applyNumberFormat="1" applyFont="1" applyFill="1" applyBorder="1" applyAlignment="1">
      <alignment horizontal="center" vertical="center" wrapText="1"/>
    </xf>
    <xf numFmtId="0" fontId="24" fillId="0" borderId="8" xfId="5" applyFont="1" applyBorder="1" applyAlignment="1">
      <alignment horizontal="center" vertical="center" wrapText="1"/>
    </xf>
    <xf numFmtId="0" fontId="24" fillId="0" borderId="8" xfId="0" applyFont="1" applyBorder="1" applyAlignment="1">
      <alignment horizontal="center" vertical="center" wrapText="1"/>
    </xf>
    <xf numFmtId="0" fontId="24" fillId="0" borderId="8" xfId="5" applyFont="1" applyBorder="1" applyAlignment="1">
      <alignment horizontal="left" vertical="center" wrapText="1"/>
    </xf>
    <xf numFmtId="0" fontId="24" fillId="0" borderId="1" xfId="5" applyFont="1" applyBorder="1" applyAlignment="1">
      <alignment horizontal="center" vertical="center" wrapText="1"/>
    </xf>
    <xf numFmtId="0" fontId="24" fillId="0" borderId="1" xfId="0" applyFont="1" applyBorder="1" applyAlignment="1">
      <alignment horizontal="center" vertical="center" wrapText="1"/>
    </xf>
    <xf numFmtId="0" fontId="24" fillId="0" borderId="1" xfId="5" applyFont="1" applyBorder="1" applyAlignment="1">
      <alignment horizontal="left" vertical="center" wrapText="1"/>
    </xf>
    <xf numFmtId="0" fontId="24" fillId="0" borderId="9" xfId="5" applyFont="1" applyBorder="1" applyAlignment="1">
      <alignment vertical="center" wrapText="1"/>
    </xf>
    <xf numFmtId="0" fontId="24" fillId="0" borderId="9" xfId="5" applyFont="1" applyBorder="1" applyAlignment="1">
      <alignment horizontal="center" vertical="center" wrapText="1"/>
    </xf>
    <xf numFmtId="0" fontId="24" fillId="0" borderId="1" xfId="5" applyFont="1" applyBorder="1" applyAlignment="1">
      <alignment vertical="center" wrapText="1"/>
    </xf>
    <xf numFmtId="0" fontId="23" fillId="3" borderId="3" xfId="0" applyFont="1" applyFill="1" applyBorder="1" applyAlignment="1">
      <alignment horizontal="center" vertical="center" wrapText="1"/>
    </xf>
    <xf numFmtId="0" fontId="24" fillId="0" borderId="8" xfId="5" applyFont="1" applyBorder="1" applyAlignment="1">
      <alignment vertical="center" wrapText="1"/>
    </xf>
    <xf numFmtId="0" fontId="25" fillId="0" borderId="1" xfId="0" applyFont="1" applyBorder="1" applyAlignment="1">
      <alignment horizontal="left" vertical="center" wrapText="1"/>
    </xf>
    <xf numFmtId="0" fontId="23" fillId="3" borderId="6" xfId="0" applyFont="1" applyFill="1" applyBorder="1" applyAlignment="1">
      <alignment horizontal="left" vertical="center"/>
    </xf>
    <xf numFmtId="0" fontId="23" fillId="3" borderId="10" xfId="0" applyFont="1" applyFill="1" applyBorder="1" applyAlignment="1">
      <alignment horizontal="center" vertical="center" wrapText="1"/>
    </xf>
    <xf numFmtId="0" fontId="23" fillId="3" borderId="11" xfId="0" applyFont="1" applyFill="1" applyBorder="1" applyAlignment="1">
      <alignment horizontal="center" vertical="center"/>
    </xf>
    <xf numFmtId="0" fontId="23" fillId="2" borderId="11" xfId="0" applyFont="1" applyFill="1" applyBorder="1" applyAlignment="1">
      <alignment horizontal="center" vertical="center" wrapText="1"/>
    </xf>
    <xf numFmtId="0" fontId="23" fillId="5" borderId="11" xfId="0" applyFont="1" applyFill="1" applyBorder="1" applyAlignment="1">
      <alignment horizontal="center" vertical="center" wrapText="1"/>
    </xf>
    <xf numFmtId="2" fontId="23" fillId="5" borderId="11" xfId="0" applyNumberFormat="1" applyFont="1" applyFill="1" applyBorder="1" applyAlignment="1">
      <alignment horizontal="center" vertical="center" wrapText="1"/>
    </xf>
    <xf numFmtId="0" fontId="24" fillId="0" borderId="1" xfId="5" applyFont="1" applyBorder="1" applyAlignment="1">
      <alignment horizontal="center" vertical="center"/>
    </xf>
    <xf numFmtId="0" fontId="24" fillId="6" borderId="1" xfId="5" applyFont="1" applyFill="1" applyBorder="1" applyAlignment="1">
      <alignment horizontal="center" vertical="center" wrapText="1"/>
    </xf>
    <xf numFmtId="0" fontId="18" fillId="0" borderId="0" xfId="0" applyFont="1" applyAlignment="1">
      <alignment horizontal="center"/>
    </xf>
    <xf numFmtId="0" fontId="26" fillId="0" borderId="0" xfId="0" applyFont="1"/>
    <xf numFmtId="0" fontId="27" fillId="0" borderId="30" xfId="0" applyFont="1" applyBorder="1" applyAlignment="1">
      <alignment horizontal="center"/>
    </xf>
    <xf numFmtId="0" fontId="28" fillId="0" borderId="30" xfId="2" applyFont="1" applyBorder="1" applyAlignment="1" applyProtection="1"/>
    <xf numFmtId="0" fontId="29" fillId="0" borderId="30" xfId="0" applyFont="1" applyBorder="1"/>
    <xf numFmtId="0" fontId="30" fillId="8" borderId="30" xfId="0" applyFont="1" applyFill="1" applyBorder="1" applyAlignment="1">
      <alignment horizontal="center"/>
    </xf>
    <xf numFmtId="0" fontId="29" fillId="0" borderId="30" xfId="0" applyFont="1" applyBorder="1" applyAlignment="1">
      <alignment horizontal="center"/>
    </xf>
    <xf numFmtId="0" fontId="31" fillId="8" borderId="30" xfId="0" applyFont="1" applyFill="1" applyBorder="1" applyAlignment="1">
      <alignment vertical="center"/>
    </xf>
    <xf numFmtId="0" fontId="32" fillId="9" borderId="30" xfId="0" applyFont="1" applyFill="1" applyBorder="1" applyAlignment="1">
      <alignment horizontal="center" vertical="center"/>
    </xf>
    <xf numFmtId="0" fontId="24" fillId="0" borderId="12" xfId="5" applyFont="1" applyBorder="1" applyAlignment="1">
      <alignment horizontal="center" vertical="center" wrapText="1"/>
    </xf>
    <xf numFmtId="0" fontId="24" fillId="0" borderId="13" xfId="5" applyFont="1" applyBorder="1" applyAlignment="1">
      <alignment horizontal="center" vertical="center" wrapText="1"/>
    </xf>
    <xf numFmtId="2" fontId="23" fillId="5" borderId="1" xfId="0" applyNumberFormat="1" applyFont="1" applyFill="1" applyBorder="1" applyAlignment="1">
      <alignment vertical="center" wrapText="1"/>
    </xf>
    <xf numFmtId="2" fontId="23" fillId="5" borderId="3" xfId="0" applyNumberFormat="1" applyFont="1" applyFill="1" applyBorder="1" applyAlignment="1">
      <alignment vertical="center" wrapText="1"/>
    </xf>
    <xf numFmtId="0" fontId="12" fillId="0" borderId="1" xfId="5" applyFont="1" applyBorder="1" applyAlignment="1">
      <alignment horizontal="center" vertical="center" wrapText="1"/>
    </xf>
    <xf numFmtId="0" fontId="24" fillId="0" borderId="6" xfId="5" applyFont="1" applyBorder="1" applyAlignment="1">
      <alignment horizontal="center" vertical="center" wrapText="1"/>
    </xf>
    <xf numFmtId="0" fontId="24" fillId="6" borderId="8" xfId="5" applyFont="1" applyFill="1" applyBorder="1" applyAlignment="1">
      <alignment horizontal="center" vertical="center" wrapText="1"/>
    </xf>
    <xf numFmtId="0" fontId="24" fillId="0" borderId="1" xfId="5" applyFont="1" applyBorder="1" applyAlignment="1">
      <alignment horizontal="left" vertical="top" wrapText="1"/>
    </xf>
    <xf numFmtId="0" fontId="24" fillId="0" borderId="8" xfId="5" applyFont="1" applyBorder="1" applyAlignment="1">
      <alignment horizontal="left" vertical="top" wrapText="1"/>
    </xf>
    <xf numFmtId="0" fontId="24" fillId="6" borderId="1" xfId="5" applyFont="1" applyFill="1" applyBorder="1" applyAlignment="1">
      <alignment vertical="center" wrapText="1"/>
    </xf>
    <xf numFmtId="0" fontId="2" fillId="0" borderId="1" xfId="0" applyFont="1" applyBorder="1" applyAlignment="1">
      <alignment horizontal="center" vertical="center" wrapText="1"/>
    </xf>
    <xf numFmtId="0" fontId="24" fillId="6" borderId="1" xfId="5" applyFont="1" applyFill="1" applyBorder="1" applyAlignment="1">
      <alignment horizontal="center" vertical="center"/>
    </xf>
    <xf numFmtId="0" fontId="33" fillId="0" borderId="1" xfId="0" applyFont="1" applyBorder="1" applyAlignment="1">
      <alignment horizontal="left" vertical="top"/>
    </xf>
    <xf numFmtId="0" fontId="33" fillId="0" borderId="0" xfId="0" applyFont="1" applyAlignment="1">
      <alignment wrapText="1"/>
    </xf>
    <xf numFmtId="0" fontId="33" fillId="0" borderId="1" xfId="5" applyFont="1" applyBorder="1" applyAlignment="1">
      <alignment horizontal="left" vertical="top"/>
    </xf>
    <xf numFmtId="0" fontId="33" fillId="0" borderId="1" xfId="0" applyFont="1" applyBorder="1" applyAlignment="1">
      <alignment horizontal="left" vertical="top" wrapText="1"/>
    </xf>
    <xf numFmtId="0" fontId="33" fillId="0" borderId="1" xfId="5" applyFont="1" applyBorder="1" applyAlignment="1">
      <alignment horizontal="left" vertical="top" wrapText="1"/>
    </xf>
    <xf numFmtId="0" fontId="34" fillId="0" borderId="0" xfId="0" applyFont="1" applyAlignment="1">
      <alignment horizontal="center" vertical="center"/>
    </xf>
    <xf numFmtId="0" fontId="33" fillId="0" borderId="0" xfId="0" applyFont="1"/>
    <xf numFmtId="0" fontId="34" fillId="0" borderId="1" xfId="0" applyFont="1" applyBorder="1" applyAlignment="1">
      <alignment horizontal="center" vertical="center" wrapText="1"/>
    </xf>
    <xf numFmtId="0" fontId="34" fillId="0" borderId="0" xfId="0" applyFont="1" applyAlignment="1">
      <alignment horizontal="center" vertical="center" wrapText="1"/>
    </xf>
    <xf numFmtId="0" fontId="33" fillId="0" borderId="1" xfId="0" applyFont="1" applyBorder="1" applyAlignment="1">
      <alignment horizontal="center" vertical="center" wrapText="1"/>
    </xf>
    <xf numFmtId="0" fontId="33" fillId="0" borderId="0" xfId="0" applyFont="1" applyAlignment="1">
      <alignment horizontal="left" vertical="center" wrapText="1"/>
    </xf>
    <xf numFmtId="0" fontId="33" fillId="0" borderId="1" xfId="0" applyFont="1" applyBorder="1" applyAlignment="1">
      <alignment horizontal="center" vertical="center"/>
    </xf>
    <xf numFmtId="0" fontId="33" fillId="0" borderId="0" xfId="0" applyFont="1" applyAlignment="1">
      <alignment horizontal="left" vertical="center"/>
    </xf>
    <xf numFmtId="0" fontId="33" fillId="0" borderId="0" xfId="0" applyFont="1" applyAlignment="1">
      <alignment horizontal="center" vertical="center"/>
    </xf>
    <xf numFmtId="0" fontId="33" fillId="0" borderId="0" xfId="0" applyFont="1" applyAlignment="1">
      <alignment horizontal="center" vertical="center" wrapText="1"/>
    </xf>
    <xf numFmtId="0" fontId="34" fillId="0" borderId="1" xfId="0" applyFont="1" applyBorder="1" applyAlignment="1">
      <alignment horizontal="center" vertical="center"/>
    </xf>
    <xf numFmtId="0" fontId="33" fillId="15" borderId="1" xfId="0" applyFont="1" applyFill="1" applyBorder="1" applyAlignment="1">
      <alignment horizontal="left" vertical="center" wrapText="1"/>
    </xf>
    <xf numFmtId="0" fontId="33" fillId="0" borderId="34" xfId="0" applyFont="1" applyBorder="1" applyAlignment="1">
      <alignment horizontal="left" vertical="top" wrapText="1"/>
    </xf>
    <xf numFmtId="0" fontId="33" fillId="0" borderId="1" xfId="0" applyFont="1" applyBorder="1" applyAlignment="1">
      <alignment horizontal="left" wrapText="1"/>
    </xf>
    <xf numFmtId="0" fontId="33" fillId="0" borderId="34" xfId="0" applyFont="1" applyBorder="1" applyAlignment="1">
      <alignment horizontal="left" vertical="center" wrapText="1"/>
    </xf>
    <xf numFmtId="0" fontId="33" fillId="6" borderId="1" xfId="0" applyFont="1" applyFill="1" applyBorder="1" applyAlignment="1">
      <alignment horizontal="center" vertical="center" wrapText="1"/>
    </xf>
    <xf numFmtId="0" fontId="33" fillId="0" borderId="0" xfId="0" applyFont="1" applyAlignment="1">
      <alignment horizontal="left" wrapText="1"/>
    </xf>
    <xf numFmtId="0" fontId="19" fillId="0" borderId="0" xfId="0" applyFont="1" applyAlignment="1">
      <alignment horizontal="left"/>
    </xf>
    <xf numFmtId="49" fontId="19" fillId="0" borderId="0" xfId="0" applyNumberFormat="1" applyFont="1" applyAlignment="1">
      <alignment horizontal="left"/>
    </xf>
    <xf numFmtId="165" fontId="19" fillId="15" borderId="0" xfId="0" applyNumberFormat="1" applyFont="1" applyFill="1" applyAlignment="1">
      <alignment horizontal="left"/>
    </xf>
    <xf numFmtId="0" fontId="19" fillId="7" borderId="1" xfId="0" applyFont="1" applyFill="1" applyBorder="1" applyAlignment="1">
      <alignment horizontal="center" vertical="top" wrapText="1"/>
    </xf>
    <xf numFmtId="164" fontId="33" fillId="0" borderId="1" xfId="0" applyNumberFormat="1" applyFont="1" applyBorder="1" applyAlignment="1">
      <alignment horizontal="center" vertical="center"/>
    </xf>
    <xf numFmtId="15" fontId="33" fillId="0" borderId="1" xfId="0" applyNumberFormat="1" applyFont="1" applyBorder="1" applyAlignment="1">
      <alignment horizontal="center" vertical="center"/>
    </xf>
    <xf numFmtId="0" fontId="33" fillId="0" borderId="1" xfId="0" applyFont="1" applyBorder="1" applyAlignment="1">
      <alignment vertical="center"/>
    </xf>
    <xf numFmtId="0" fontId="33" fillId="0" borderId="1" xfId="0" applyFont="1" applyBorder="1" applyAlignment="1">
      <alignment vertical="center" wrapText="1"/>
    </xf>
    <xf numFmtId="2" fontId="33" fillId="0" borderId="1" xfId="0" applyNumberFormat="1" applyFont="1" applyBorder="1" applyAlignment="1">
      <alignment horizontal="center" vertical="center"/>
    </xf>
    <xf numFmtId="0" fontId="36" fillId="14" borderId="32" xfId="0" applyFont="1" applyFill="1" applyBorder="1" applyAlignment="1" applyProtection="1">
      <alignment horizontal="center" vertical="center" wrapText="1"/>
      <protection locked="0"/>
    </xf>
    <xf numFmtId="0" fontId="36" fillId="14" borderId="32" xfId="0" applyFont="1" applyFill="1" applyBorder="1" applyAlignment="1" applyProtection="1">
      <alignment horizontal="left" vertical="center" wrapText="1"/>
      <protection locked="0"/>
    </xf>
    <xf numFmtId="0" fontId="29" fillId="0" borderId="1" xfId="0" applyFont="1" applyBorder="1" applyAlignment="1">
      <alignment horizontal="center" vertical="center" wrapText="1"/>
    </xf>
    <xf numFmtId="0" fontId="29" fillId="0" borderId="1" xfId="0" applyFont="1" applyBorder="1" applyAlignment="1">
      <alignment horizontal="left" vertical="top" wrapText="1"/>
    </xf>
    <xf numFmtId="0" fontId="29" fillId="0" borderId="1" xfId="0" applyFont="1" applyBorder="1" applyAlignment="1">
      <alignment horizontal="left" vertical="center" wrapText="1"/>
    </xf>
    <xf numFmtId="0" fontId="38" fillId="0" borderId="1" xfId="0" applyFont="1" applyBorder="1" applyAlignment="1">
      <alignment horizontal="center" vertical="center" wrapText="1"/>
    </xf>
    <xf numFmtId="0" fontId="29" fillId="0" borderId="9" xfId="0" applyFont="1" applyBorder="1" applyAlignment="1">
      <alignment horizontal="center" vertical="center" wrapText="1"/>
    </xf>
    <xf numFmtId="0" fontId="29" fillId="0" borderId="33" xfId="0" applyFont="1" applyBorder="1" applyAlignment="1">
      <alignment vertical="center" wrapText="1"/>
    </xf>
    <xf numFmtId="0" fontId="29" fillId="12" borderId="1" xfId="0" applyFont="1" applyFill="1" applyBorder="1" applyAlignment="1">
      <alignment horizontal="left" vertical="center" wrapText="1"/>
    </xf>
    <xf numFmtId="0" fontId="39" fillId="0" borderId="1" xfId="0" applyFont="1" applyBorder="1" applyAlignment="1">
      <alignment horizontal="center" vertical="center" wrapText="1"/>
    </xf>
    <xf numFmtId="0" fontId="0" fillId="0" borderId="1" xfId="0" applyBorder="1"/>
    <xf numFmtId="2" fontId="40" fillId="5" borderId="3" xfId="0" applyNumberFormat="1" applyFont="1" applyFill="1" applyBorder="1" applyAlignment="1">
      <alignment horizontal="center" vertical="center" wrapText="1"/>
    </xf>
    <xf numFmtId="166" fontId="33" fillId="0" borderId="1" xfId="0" applyNumberFormat="1" applyFont="1" applyBorder="1" applyAlignment="1">
      <alignment horizontal="center" vertical="center"/>
    </xf>
    <xf numFmtId="0" fontId="33" fillId="6" borderId="1" xfId="0" applyFont="1" applyFill="1" applyBorder="1" applyAlignment="1">
      <alignment horizontal="center" vertical="center"/>
    </xf>
    <xf numFmtId="0" fontId="33" fillId="6" borderId="1" xfId="0" applyFont="1" applyFill="1" applyBorder="1" applyAlignment="1">
      <alignment vertical="center" wrapText="1"/>
    </xf>
    <xf numFmtId="0" fontId="33" fillId="0" borderId="1" xfId="0" applyFont="1" applyBorder="1" applyAlignment="1">
      <alignment horizontal="left" vertical="center"/>
    </xf>
    <xf numFmtId="0" fontId="33" fillId="0" borderId="1" xfId="0" applyFont="1" applyBorder="1"/>
    <xf numFmtId="0" fontId="25" fillId="0" borderId="1" xfId="0" applyFont="1" applyBorder="1" applyAlignment="1">
      <alignment vertical="center" wrapText="1"/>
    </xf>
    <xf numFmtId="0" fontId="25" fillId="0" borderId="1" xfId="0" applyFont="1" applyBorder="1" applyAlignment="1">
      <alignment horizontal="center" vertical="center" wrapText="1"/>
    </xf>
    <xf numFmtId="0" fontId="34" fillId="0" borderId="15" xfId="0" applyFont="1" applyBorder="1" applyAlignment="1">
      <alignment horizontal="center" vertical="center" wrapText="1"/>
    </xf>
    <xf numFmtId="0" fontId="34" fillId="0" borderId="2" xfId="0" applyFont="1" applyBorder="1" applyAlignment="1">
      <alignment horizontal="center" vertical="center" wrapText="1"/>
    </xf>
    <xf numFmtId="0" fontId="33" fillId="0" borderId="15" xfId="0" applyFont="1" applyBorder="1" applyAlignment="1">
      <alignment horizontal="left" vertical="center"/>
    </xf>
    <xf numFmtId="0" fontId="33" fillId="0" borderId="2" xfId="0" applyFont="1" applyBorder="1" applyAlignment="1">
      <alignment horizontal="center" vertical="center"/>
    </xf>
    <xf numFmtId="0" fontId="33" fillId="0" borderId="14" xfId="0" applyFont="1" applyBorder="1" applyAlignment="1">
      <alignment horizontal="left" vertical="center"/>
    </xf>
    <xf numFmtId="0" fontId="33" fillId="0" borderId="3" xfId="0" applyFont="1" applyBorder="1" applyAlignment="1">
      <alignment horizontal="left" vertical="center"/>
    </xf>
    <xf numFmtId="0" fontId="33" fillId="0" borderId="7" xfId="0" applyFont="1" applyBorder="1" applyAlignment="1">
      <alignment horizontal="center" vertical="center"/>
    </xf>
    <xf numFmtId="0" fontId="33" fillId="0" borderId="15" xfId="0" applyFont="1" applyBorder="1" applyAlignment="1">
      <alignment horizontal="left" vertical="top"/>
    </xf>
    <xf numFmtId="0" fontId="33" fillId="0" borderId="14" xfId="0" applyFont="1" applyBorder="1" applyAlignment="1">
      <alignment horizontal="left" vertical="top"/>
    </xf>
    <xf numFmtId="0" fontId="33" fillId="0" borderId="3" xfId="0" applyFont="1" applyBorder="1"/>
    <xf numFmtId="0" fontId="34" fillId="12" borderId="18" xfId="0" applyFont="1" applyFill="1" applyBorder="1" applyAlignment="1">
      <alignment horizontal="center" vertical="center" wrapText="1"/>
    </xf>
    <xf numFmtId="0" fontId="34" fillId="0" borderId="6" xfId="0" applyFont="1" applyBorder="1" applyAlignment="1">
      <alignment horizontal="center" vertical="center" wrapText="1"/>
    </xf>
    <xf numFmtId="0" fontId="34" fillId="0" borderId="10" xfId="0" applyFont="1" applyBorder="1" applyAlignment="1">
      <alignment horizontal="center" vertical="center" wrapText="1"/>
    </xf>
    <xf numFmtId="0" fontId="34" fillId="0" borderId="15" xfId="0" applyFont="1" applyBorder="1" applyAlignment="1">
      <alignment horizontal="center" vertical="center"/>
    </xf>
    <xf numFmtId="0" fontId="33" fillId="0" borderId="3" xfId="0" applyFont="1" applyBorder="1" applyAlignment="1">
      <alignment horizontal="left" vertical="top"/>
    </xf>
    <xf numFmtId="0" fontId="34" fillId="7" borderId="18" xfId="0" applyFont="1" applyFill="1" applyBorder="1" applyAlignment="1">
      <alignment horizontal="center" vertical="center" wrapText="1"/>
    </xf>
    <xf numFmtId="0" fontId="34" fillId="7" borderId="6" xfId="0" applyFont="1" applyFill="1" applyBorder="1" applyAlignment="1">
      <alignment horizontal="center" vertical="center" wrapText="1"/>
    </xf>
    <xf numFmtId="0" fontId="34" fillId="12" borderId="15" xfId="0" applyFont="1" applyFill="1" applyBorder="1" applyAlignment="1">
      <alignment horizontal="center" vertical="center"/>
    </xf>
    <xf numFmtId="0" fontId="34" fillId="0" borderId="2" xfId="0" applyFont="1" applyBorder="1" applyAlignment="1">
      <alignment horizontal="center" vertical="center"/>
    </xf>
    <xf numFmtId="0" fontId="34" fillId="6" borderId="15" xfId="0" applyFont="1" applyFill="1" applyBorder="1" applyAlignment="1">
      <alignment horizontal="center" vertical="center"/>
    </xf>
    <xf numFmtId="0" fontId="34" fillId="11" borderId="15" xfId="0" applyFont="1" applyFill="1" applyBorder="1" applyAlignment="1">
      <alignment horizontal="center" vertical="center"/>
    </xf>
    <xf numFmtId="0" fontId="34" fillId="10" borderId="14" xfId="0" applyFont="1" applyFill="1" applyBorder="1" applyAlignment="1">
      <alignment horizontal="center" vertical="center"/>
    </xf>
    <xf numFmtId="0" fontId="34" fillId="0" borderId="7" xfId="0" applyFont="1" applyBorder="1" applyAlignment="1">
      <alignment horizontal="center" vertical="center"/>
    </xf>
    <xf numFmtId="0" fontId="34" fillId="0" borderId="15" xfId="0" applyFont="1" applyBorder="1" applyAlignment="1">
      <alignment vertical="center"/>
    </xf>
    <xf numFmtId="0" fontId="34" fillId="0" borderId="14" xfId="0" applyFont="1" applyBorder="1" applyAlignment="1">
      <alignment vertical="center"/>
    </xf>
    <xf numFmtId="0" fontId="33" fillId="0" borderId="3" xfId="0" applyFont="1" applyBorder="1" applyAlignment="1">
      <alignment horizontal="center" vertical="center"/>
    </xf>
    <xf numFmtId="0" fontId="34" fillId="0" borderId="39" xfId="0" applyFont="1" applyBorder="1" applyAlignment="1">
      <alignment horizontal="center" vertical="center"/>
    </xf>
    <xf numFmtId="0" fontId="34" fillId="0" borderId="40" xfId="0" applyFont="1" applyBorder="1" applyAlignment="1">
      <alignment horizontal="center"/>
    </xf>
    <xf numFmtId="0" fontId="34" fillId="0" borderId="41" xfId="0" applyFont="1" applyBorder="1" applyAlignment="1">
      <alignment horizontal="center"/>
    </xf>
    <xf numFmtId="0" fontId="24" fillId="0" borderId="9" xfId="5" applyFont="1" applyBorder="1" applyAlignment="1">
      <alignment horizontal="center" vertical="center" wrapText="1"/>
    </xf>
    <xf numFmtId="0" fontId="24" fillId="0" borderId="8" xfId="5" applyFont="1" applyBorder="1" applyAlignment="1">
      <alignment horizontal="center" vertical="center" wrapText="1"/>
    </xf>
    <xf numFmtId="0" fontId="20" fillId="2" borderId="6" xfId="0" applyFont="1" applyFill="1" applyBorder="1" applyAlignment="1">
      <alignment horizontal="center" vertical="center"/>
    </xf>
    <xf numFmtId="0" fontId="20" fillId="2" borderId="10" xfId="0" applyFont="1" applyFill="1" applyBorder="1" applyAlignment="1">
      <alignment horizontal="center" vertical="center"/>
    </xf>
    <xf numFmtId="2" fontId="20" fillId="4" borderId="1" xfId="0" applyNumberFormat="1" applyFont="1" applyFill="1" applyBorder="1" applyAlignment="1">
      <alignment horizontal="center" vertical="center" wrapText="1"/>
    </xf>
    <xf numFmtId="0" fontId="20" fillId="2" borderId="18" xfId="0" applyFont="1" applyFill="1" applyBorder="1" applyAlignment="1">
      <alignment horizontal="center" vertical="center"/>
    </xf>
    <xf numFmtId="0" fontId="23" fillId="3" borderId="15" xfId="0" applyFont="1" applyFill="1" applyBorder="1" applyAlignment="1">
      <alignment horizontal="center" vertical="center" wrapText="1"/>
    </xf>
    <xf numFmtId="0" fontId="23" fillId="3" borderId="14"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23" fillId="3" borderId="3" xfId="0" applyFont="1" applyFill="1" applyBorder="1" applyAlignment="1">
      <alignment horizontal="center" vertical="center" wrapText="1"/>
    </xf>
    <xf numFmtId="0" fontId="23" fillId="3" borderId="1" xfId="0" applyFont="1" applyFill="1" applyBorder="1" applyAlignment="1">
      <alignment horizontal="center" vertical="center"/>
    </xf>
    <xf numFmtId="2" fontId="23" fillId="3" borderId="1" xfId="0" applyNumberFormat="1" applyFont="1" applyFill="1" applyBorder="1" applyAlignment="1">
      <alignment horizontal="center" vertical="center" wrapText="1"/>
    </xf>
    <xf numFmtId="2" fontId="24" fillId="0" borderId="3" xfId="0" applyNumberFormat="1" applyFont="1" applyBorder="1" applyAlignment="1">
      <alignment horizontal="center" vertical="center" wrapText="1"/>
    </xf>
    <xf numFmtId="0" fontId="23" fillId="3" borderId="16"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24" fillId="0" borderId="1" xfId="5" applyFont="1" applyBorder="1" applyAlignment="1">
      <alignment horizontal="center" vertical="center" wrapText="1"/>
    </xf>
    <xf numFmtId="0" fontId="24" fillId="0" borderId="12" xfId="5" applyFont="1" applyBorder="1" applyAlignment="1">
      <alignment horizontal="center" vertical="center" wrapText="1"/>
    </xf>
    <xf numFmtId="0" fontId="24" fillId="0" borderId="13" xfId="5" applyFont="1" applyBorder="1" applyAlignment="1">
      <alignment horizontal="center" vertical="center" wrapText="1"/>
    </xf>
    <xf numFmtId="0" fontId="12" fillId="0" borderId="9" xfId="5" applyFont="1" applyBorder="1" applyAlignment="1">
      <alignment horizontal="center" vertical="top" wrapText="1"/>
    </xf>
    <xf numFmtId="0" fontId="12" fillId="0" borderId="8" xfId="5" applyFont="1" applyBorder="1" applyAlignment="1">
      <alignment horizontal="center" vertical="top" wrapText="1"/>
    </xf>
    <xf numFmtId="0" fontId="20" fillId="7" borderId="0" xfId="0" applyFont="1" applyFill="1" applyAlignment="1">
      <alignment horizontal="center"/>
    </xf>
    <xf numFmtId="0" fontId="34" fillId="0" borderId="15" xfId="0" applyFont="1" applyBorder="1" applyAlignment="1">
      <alignment horizontal="center" vertical="center"/>
    </xf>
    <xf numFmtId="0" fontId="34" fillId="0" borderId="14" xfId="0" applyFont="1" applyBorder="1" applyAlignment="1">
      <alignment horizontal="center" vertical="center"/>
    </xf>
    <xf numFmtId="0" fontId="33" fillId="0" borderId="2" xfId="0" applyFont="1" applyBorder="1" applyAlignment="1">
      <alignment horizontal="center" vertical="center" wrapText="1"/>
    </xf>
    <xf numFmtId="0" fontId="33" fillId="0" borderId="2" xfId="0" applyFont="1" applyBorder="1" applyAlignment="1">
      <alignment horizontal="center" vertical="center"/>
    </xf>
    <xf numFmtId="0" fontId="33" fillId="0" borderId="7" xfId="0" applyFont="1" applyBorder="1" applyAlignment="1">
      <alignment horizontal="center" vertical="center"/>
    </xf>
    <xf numFmtId="0" fontId="41" fillId="0" borderId="0" xfId="0" applyFont="1" applyAlignment="1">
      <alignment horizontal="center" vertical="center"/>
    </xf>
    <xf numFmtId="0" fontId="34" fillId="10" borderId="9" xfId="0" applyFont="1" applyFill="1" applyBorder="1" applyAlignment="1">
      <alignment horizontal="center" vertical="center"/>
    </xf>
    <xf numFmtId="0" fontId="34" fillId="10" borderId="13" xfId="0" applyFont="1" applyFill="1" applyBorder="1" applyAlignment="1">
      <alignment horizontal="center" vertical="center"/>
    </xf>
    <xf numFmtId="0" fontId="34" fillId="10" borderId="38" xfId="0" applyFont="1" applyFill="1" applyBorder="1" applyAlignment="1">
      <alignment horizontal="center" vertical="center"/>
    </xf>
    <xf numFmtId="0" fontId="33" fillId="0" borderId="1" xfId="0" applyFont="1" applyBorder="1" applyAlignment="1">
      <alignment horizontal="center" vertical="center" wrapText="1"/>
    </xf>
    <xf numFmtId="0" fontId="33" fillId="0" borderId="3" xfId="0" applyFont="1" applyBorder="1" applyAlignment="1">
      <alignment horizontal="center" vertical="center" wrapText="1"/>
    </xf>
    <xf numFmtId="0" fontId="33" fillId="0" borderId="7" xfId="0" applyFont="1" applyBorder="1" applyAlignment="1">
      <alignment horizontal="center" vertical="center" wrapText="1"/>
    </xf>
    <xf numFmtId="0" fontId="34" fillId="7" borderId="18" xfId="0" applyFont="1" applyFill="1" applyBorder="1" applyAlignment="1">
      <alignment horizontal="center" vertical="center"/>
    </xf>
    <xf numFmtId="0" fontId="34" fillId="7" borderId="6" xfId="0" applyFont="1" applyFill="1" applyBorder="1" applyAlignment="1">
      <alignment horizontal="center" vertical="center"/>
    </xf>
    <xf numFmtId="0" fontId="34" fillId="7" borderId="10" xfId="0" applyFont="1" applyFill="1" applyBorder="1" applyAlignment="1">
      <alignment horizontal="center" vertical="center"/>
    </xf>
    <xf numFmtId="0" fontId="34" fillId="7" borderId="18" xfId="0" applyFont="1" applyFill="1" applyBorder="1" applyAlignment="1">
      <alignment horizontal="center"/>
    </xf>
    <xf numFmtId="0" fontId="34" fillId="7" borderId="6" xfId="0" applyFont="1" applyFill="1" applyBorder="1" applyAlignment="1">
      <alignment horizontal="center"/>
    </xf>
    <xf numFmtId="0" fontId="34" fillId="7" borderId="10" xfId="0" applyFont="1" applyFill="1" applyBorder="1" applyAlignment="1">
      <alignment horizontal="center"/>
    </xf>
    <xf numFmtId="0" fontId="34" fillId="7" borderId="6" xfId="0" applyFont="1" applyFill="1" applyBorder="1" applyAlignment="1">
      <alignment horizontal="center" vertical="center" wrapText="1"/>
    </xf>
    <xf numFmtId="0" fontId="34" fillId="7" borderId="10" xfId="0" applyFont="1" applyFill="1" applyBorder="1" applyAlignment="1">
      <alignment horizontal="center" vertical="center" wrapText="1"/>
    </xf>
    <xf numFmtId="0" fontId="33" fillId="0" borderId="15" xfId="0" applyFont="1" applyBorder="1" applyAlignment="1">
      <alignment horizontal="center" wrapText="1"/>
    </xf>
    <xf numFmtId="0" fontId="33" fillId="0" borderId="15" xfId="0" applyFont="1" applyBorder="1" applyAlignment="1">
      <alignment horizontal="center"/>
    </xf>
    <xf numFmtId="0" fontId="34" fillId="12" borderId="1" xfId="0" applyFont="1" applyFill="1" applyBorder="1" applyAlignment="1">
      <alignment horizontal="center" vertical="center"/>
    </xf>
    <xf numFmtId="0" fontId="34" fillId="6" borderId="1" xfId="0" applyFont="1" applyFill="1" applyBorder="1" applyAlignment="1">
      <alignment horizontal="center" vertical="center"/>
    </xf>
    <xf numFmtId="0" fontId="34" fillId="0" borderId="18" xfId="0" applyFont="1" applyBorder="1" applyAlignment="1">
      <alignment horizontal="center"/>
    </xf>
    <xf numFmtId="0" fontId="34" fillId="0" borderId="10" xfId="0" applyFont="1" applyBorder="1" applyAlignment="1">
      <alignment horizontal="center"/>
    </xf>
    <xf numFmtId="0" fontId="34" fillId="0" borderId="18" xfId="0" applyFont="1" applyBorder="1" applyAlignment="1">
      <alignment horizontal="center" vertical="center"/>
    </xf>
    <xf numFmtId="0" fontId="34" fillId="0" borderId="6" xfId="0" applyFont="1" applyBorder="1" applyAlignment="1">
      <alignment horizontal="center" vertical="center"/>
    </xf>
    <xf numFmtId="0" fontId="34" fillId="0" borderId="10" xfId="0" applyFont="1" applyBorder="1" applyAlignment="1">
      <alignment horizontal="center" vertical="center"/>
    </xf>
    <xf numFmtId="0" fontId="33" fillId="0" borderId="21" xfId="0" applyFont="1" applyBorder="1" applyAlignment="1">
      <alignment horizontal="center" wrapText="1"/>
    </xf>
    <xf numFmtId="0" fontId="33" fillId="0" borderId="35" xfId="0" applyFont="1" applyBorder="1" applyAlignment="1">
      <alignment horizontal="center" wrapText="1"/>
    </xf>
    <xf numFmtId="0" fontId="33" fillId="0" borderId="36" xfId="0" applyFont="1" applyBorder="1" applyAlignment="1">
      <alignment horizontal="center" wrapText="1"/>
    </xf>
    <xf numFmtId="0" fontId="34" fillId="11" borderId="9" xfId="0" applyFont="1" applyFill="1" applyBorder="1" applyAlignment="1">
      <alignment horizontal="center" vertical="center"/>
    </xf>
    <xf numFmtId="0" fontId="34" fillId="11" borderId="13" xfId="0" applyFont="1" applyFill="1" applyBorder="1" applyAlignment="1">
      <alignment horizontal="center" vertical="center"/>
    </xf>
    <xf numFmtId="0" fontId="34" fillId="11" borderId="8" xfId="0" applyFont="1" applyFill="1" applyBorder="1" applyAlignment="1">
      <alignment horizontal="center" vertical="center"/>
    </xf>
    <xf numFmtId="0" fontId="33" fillId="0" borderId="37" xfId="0" applyFont="1" applyBorder="1" applyAlignment="1">
      <alignment horizontal="center" wrapText="1"/>
    </xf>
    <xf numFmtId="0" fontId="29" fillId="0" borderId="1" xfId="0" applyFont="1" applyBorder="1" applyAlignment="1">
      <alignment horizontal="center" vertical="center" wrapText="1"/>
    </xf>
    <xf numFmtId="0" fontId="33" fillId="0" borderId="28" xfId="0" applyFont="1" applyBorder="1" applyAlignment="1">
      <alignment horizontal="center" vertical="center" wrapText="1"/>
    </xf>
    <xf numFmtId="0" fontId="33" fillId="0" borderId="29" xfId="0" applyFont="1" applyBorder="1" applyAlignment="1">
      <alignment horizontal="center" vertical="center" wrapText="1"/>
    </xf>
    <xf numFmtId="0" fontId="35" fillId="13" borderId="31" xfId="0" applyFont="1" applyFill="1" applyBorder="1" applyAlignment="1">
      <alignment horizontal="center" vertical="center" wrapText="1"/>
    </xf>
    <xf numFmtId="0" fontId="29" fillId="0" borderId="9" xfId="0" applyFont="1" applyBorder="1" applyAlignment="1">
      <alignment horizontal="center" vertical="top" wrapText="1"/>
    </xf>
    <xf numFmtId="0" fontId="29" fillId="0" borderId="13" xfId="0" applyFont="1" applyBorder="1" applyAlignment="1">
      <alignment horizontal="center" vertical="top" wrapText="1"/>
    </xf>
    <xf numFmtId="0" fontId="29" fillId="0" borderId="8" xfId="0" applyFont="1" applyBorder="1" applyAlignment="1">
      <alignment horizontal="center" vertical="top" wrapText="1"/>
    </xf>
    <xf numFmtId="0" fontId="29" fillId="0" borderId="9" xfId="0" applyFont="1" applyBorder="1" applyAlignment="1">
      <alignment horizontal="center" vertical="center" wrapText="1"/>
    </xf>
    <xf numFmtId="0" fontId="29" fillId="0" borderId="13" xfId="0" applyFont="1" applyBorder="1" applyAlignment="1">
      <alignment horizontal="center" vertical="center" wrapText="1"/>
    </xf>
    <xf numFmtId="0" fontId="29" fillId="0" borderId="8" xfId="0" applyFont="1" applyBorder="1" applyAlignment="1">
      <alignment horizontal="center" vertical="center" wrapText="1"/>
    </xf>
    <xf numFmtId="0" fontId="12" fillId="0" borderId="1" xfId="5" applyFont="1" applyBorder="1" applyAlignment="1">
      <alignment horizontal="center" vertical="center" wrapText="1"/>
    </xf>
    <xf numFmtId="0" fontId="12" fillId="0" borderId="12" xfId="5" applyFont="1" applyBorder="1" applyAlignment="1">
      <alignment horizontal="center" vertical="center" wrapText="1"/>
    </xf>
    <xf numFmtId="0" fontId="23" fillId="3" borderId="21" xfId="0" applyFont="1" applyFill="1" applyBorder="1" applyAlignment="1">
      <alignment horizontal="center" vertical="center" wrapText="1"/>
    </xf>
    <xf numFmtId="2" fontId="23" fillId="5" borderId="1" xfId="0" applyNumberFormat="1" applyFont="1" applyFill="1" applyBorder="1" applyAlignment="1">
      <alignment horizontal="center" vertical="center" wrapText="1"/>
    </xf>
    <xf numFmtId="2" fontId="23" fillId="5" borderId="3" xfId="0" applyNumberFormat="1" applyFont="1" applyFill="1" applyBorder="1" applyAlignment="1">
      <alignment horizontal="center" vertical="center" wrapText="1"/>
    </xf>
    <xf numFmtId="0" fontId="23" fillId="3" borderId="9" xfId="0" applyFont="1" applyFill="1" applyBorder="1" applyAlignment="1">
      <alignment horizontal="center" vertical="center" wrapText="1"/>
    </xf>
    <xf numFmtId="0" fontId="24" fillId="0" borderId="9" xfId="5" applyFont="1" applyBorder="1" applyAlignment="1">
      <alignment horizontal="center" vertical="center"/>
    </xf>
    <xf numFmtId="0" fontId="24" fillId="0" borderId="13" xfId="5" applyFont="1" applyBorder="1" applyAlignment="1">
      <alignment horizontal="center" vertical="center"/>
    </xf>
    <xf numFmtId="0" fontId="24" fillId="0" borderId="8" xfId="5" applyFont="1" applyBorder="1" applyAlignment="1">
      <alignment horizontal="center" vertical="center"/>
    </xf>
    <xf numFmtId="0" fontId="24" fillId="6" borderId="1" xfId="5" applyFont="1" applyFill="1" applyBorder="1" applyAlignment="1">
      <alignment horizontal="center" vertical="center"/>
    </xf>
    <xf numFmtId="0" fontId="24" fillId="6" borderId="13" xfId="5" applyFont="1" applyFill="1" applyBorder="1" applyAlignment="1">
      <alignment horizontal="center" vertical="center"/>
    </xf>
    <xf numFmtId="0" fontId="24" fillId="6" borderId="8" xfId="5" applyFont="1" applyFill="1" applyBorder="1" applyAlignment="1">
      <alignment horizontal="center" vertical="center"/>
    </xf>
    <xf numFmtId="0" fontId="23" fillId="3" borderId="26" xfId="0" applyFont="1" applyFill="1" applyBorder="1" applyAlignment="1">
      <alignment horizontal="center" vertical="center" wrapText="1"/>
    </xf>
    <xf numFmtId="0" fontId="23" fillId="3" borderId="27" xfId="0" applyFont="1" applyFill="1" applyBorder="1" applyAlignment="1">
      <alignment horizontal="center" vertical="center" wrapText="1"/>
    </xf>
    <xf numFmtId="0" fontId="23" fillId="3" borderId="18" xfId="0" applyFont="1" applyFill="1" applyBorder="1" applyAlignment="1">
      <alignment horizontal="center" vertical="center" wrapText="1"/>
    </xf>
    <xf numFmtId="0" fontId="23" fillId="3" borderId="6" xfId="0" applyFont="1" applyFill="1" applyBorder="1" applyAlignment="1">
      <alignment horizontal="center" vertical="center" wrapText="1"/>
    </xf>
    <xf numFmtId="0" fontId="23" fillId="3" borderId="6" xfId="0" applyFont="1" applyFill="1" applyBorder="1" applyAlignment="1">
      <alignment horizontal="center" vertical="center"/>
    </xf>
    <xf numFmtId="2" fontId="23" fillId="3" borderId="6" xfId="0" applyNumberFormat="1" applyFont="1" applyFill="1" applyBorder="1" applyAlignment="1">
      <alignment horizontal="center" vertical="center" wrapText="1"/>
    </xf>
    <xf numFmtId="2" fontId="24" fillId="0" borderId="9" xfId="0" applyNumberFormat="1" applyFont="1" applyBorder="1" applyAlignment="1">
      <alignment horizontal="center" vertical="center" wrapText="1"/>
    </xf>
    <xf numFmtId="2" fontId="23" fillId="4" borderId="22" xfId="0" applyNumberFormat="1" applyFont="1" applyFill="1" applyBorder="1" applyAlignment="1">
      <alignment horizontal="center" vertical="center" wrapText="1"/>
    </xf>
    <xf numFmtId="2" fontId="23" fillId="4" borderId="23" xfId="0" applyNumberFormat="1" applyFont="1" applyFill="1" applyBorder="1" applyAlignment="1">
      <alignment horizontal="center" vertical="center" wrapText="1"/>
    </xf>
    <xf numFmtId="2" fontId="23" fillId="4" borderId="24" xfId="0" applyNumberFormat="1" applyFont="1" applyFill="1" applyBorder="1" applyAlignment="1">
      <alignment horizontal="center" vertical="center" wrapText="1"/>
    </xf>
    <xf numFmtId="0" fontId="23" fillId="3" borderId="10" xfId="0" applyFont="1" applyFill="1" applyBorder="1" applyAlignment="1">
      <alignment horizontal="center" vertical="center" wrapText="1"/>
    </xf>
    <xf numFmtId="0" fontId="24" fillId="0" borderId="25" xfId="0" applyFont="1" applyBorder="1" applyAlignment="1">
      <alignment horizontal="center" vertical="center" wrapText="1"/>
    </xf>
    <xf numFmtId="0" fontId="24" fillId="0" borderId="1" xfId="5" applyFont="1" applyBorder="1" applyAlignment="1">
      <alignment vertical="center" wrapText="1"/>
    </xf>
    <xf numFmtId="0" fontId="20" fillId="2" borderId="19" xfId="0" applyFont="1" applyFill="1" applyBorder="1" applyAlignment="1">
      <alignment horizontal="center" vertical="center"/>
    </xf>
    <xf numFmtId="0" fontId="20" fillId="2" borderId="5" xfId="0" applyFont="1" applyFill="1" applyBorder="1" applyAlignment="1">
      <alignment horizontal="center" vertical="center"/>
    </xf>
    <xf numFmtId="0" fontId="20" fillId="2" borderId="20" xfId="0" applyFont="1" applyFill="1" applyBorder="1" applyAlignment="1">
      <alignment horizontal="center" vertical="center"/>
    </xf>
    <xf numFmtId="0" fontId="0" fillId="0" borderId="0" xfId="0" applyAlignment="1">
      <alignment horizontal="center" vertical="center"/>
    </xf>
    <xf numFmtId="0" fontId="3" fillId="2" borderId="0" xfId="0" applyFont="1" applyFill="1" applyAlignment="1">
      <alignment horizontal="center" vertical="center"/>
    </xf>
    <xf numFmtId="0" fontId="1" fillId="3" borderId="18" xfId="0" applyFont="1" applyFill="1" applyBorder="1" applyAlignment="1">
      <alignment horizontal="center" vertical="center" wrapText="1"/>
    </xf>
    <xf numFmtId="0" fontId="1" fillId="3" borderId="21" xfId="0" applyFont="1" applyFill="1" applyBorder="1" applyAlignment="1">
      <alignment horizontal="center" vertical="center" wrapText="1"/>
    </xf>
    <xf numFmtId="0" fontId="1" fillId="3" borderId="6" xfId="0" applyFont="1" applyFill="1" applyBorder="1" applyAlignment="1">
      <alignment horizontal="center" vertical="center"/>
    </xf>
    <xf numFmtId="0" fontId="1" fillId="3" borderId="9" xfId="0" applyFont="1" applyFill="1" applyBorder="1" applyAlignment="1">
      <alignment horizontal="center" vertical="center"/>
    </xf>
    <xf numFmtId="2" fontId="1" fillId="3" borderId="6" xfId="0" applyNumberFormat="1" applyFont="1" applyFill="1" applyBorder="1" applyAlignment="1">
      <alignment horizontal="center" vertical="center" wrapText="1"/>
    </xf>
    <xf numFmtId="2" fontId="2" fillId="0" borderId="9" xfId="0" applyNumberFormat="1" applyFont="1" applyBorder="1" applyAlignment="1">
      <alignment horizontal="center" vertical="center" wrapText="1"/>
    </xf>
    <xf numFmtId="0" fontId="1" fillId="3" borderId="10" xfId="0" applyFont="1" applyFill="1" applyBorder="1" applyAlignment="1">
      <alignment horizontal="center" vertical="center" wrapText="1"/>
    </xf>
    <xf numFmtId="0" fontId="2" fillId="0" borderId="25" xfId="0" applyFont="1" applyBorder="1" applyAlignment="1">
      <alignment horizontal="center" vertical="center" wrapText="1"/>
    </xf>
    <xf numFmtId="0" fontId="1" fillId="2" borderId="11" xfId="0" applyFont="1" applyFill="1" applyBorder="1" applyAlignment="1">
      <alignment horizontal="center" vertical="center" wrapText="1"/>
    </xf>
    <xf numFmtId="0" fontId="1" fillId="2" borderId="28" xfId="0" applyFont="1" applyFill="1" applyBorder="1" applyAlignment="1">
      <alignment horizontal="center" vertical="center" wrapText="1"/>
    </xf>
    <xf numFmtId="0" fontId="1" fillId="3" borderId="12" xfId="0" applyFont="1" applyFill="1" applyBorder="1" applyAlignment="1">
      <alignment horizontal="center" vertical="center"/>
    </xf>
    <xf numFmtId="0" fontId="1" fillId="3" borderId="13" xfId="0" applyFont="1" applyFill="1" applyBorder="1" applyAlignment="1">
      <alignment horizontal="center" vertical="center"/>
    </xf>
  </cellXfs>
  <cellStyles count="46">
    <cellStyle name="Comma 2" xfId="1" xr:uid="{0E4BDDCF-4B95-4B3C-8FB3-715A0D696439}"/>
    <cellStyle name="Hyperlink" xfId="2" builtinId="8"/>
    <cellStyle name="Hyperlink 2" xfId="3" xr:uid="{C0A72025-64BA-4581-9A8A-972C106CFFA2}"/>
    <cellStyle name="Normal" xfId="0" builtinId="0"/>
    <cellStyle name="Normal 2" xfId="4" xr:uid="{5810F3B0-A536-448E-96F1-F08352C9F346}"/>
    <cellStyle name="Normal 2 2" xfId="5" xr:uid="{84A645F7-8CBB-4C19-9FC5-C0032DE24361}"/>
    <cellStyle name="Normal 2 2 2" xfId="6" xr:uid="{BCED6B68-51AA-40FD-ABC5-6C6A1AD05138}"/>
    <cellStyle name="Normal 2 2 2 2" xfId="7" xr:uid="{A6BD1AD6-F9C2-428A-8B9F-2D0285B8D6F2}"/>
    <cellStyle name="Normal 2 2 2 2 2" xfId="8" xr:uid="{1F5FC850-E5FD-4726-9A69-BB209A0F0524}"/>
    <cellStyle name="Normal 2 2 2 2 2 2" xfId="9" xr:uid="{71DF4B64-E80C-4301-8D83-4BD55B6468CC}"/>
    <cellStyle name="Normal 2 2 2 2 2 2 2" xfId="10" xr:uid="{7CCF7E72-8395-40D3-B8D0-0ACB08EE8561}"/>
    <cellStyle name="Normal 2 2 2 2 2 3" xfId="11" xr:uid="{C15D2362-CE54-40F0-8987-2C1D159C2452}"/>
    <cellStyle name="Normal 2 2 2 2 3" xfId="12" xr:uid="{8AD2AC77-9D6F-4DDB-BB09-D9605B5BE863}"/>
    <cellStyle name="Normal 2 2 2 2 3 2" xfId="13" xr:uid="{CA4137B6-4A6F-4A2C-A826-0991924FB369}"/>
    <cellStyle name="Normal 2 2 2 3" xfId="14" xr:uid="{5DEA3E2C-095A-4795-AF8A-6502A117D49D}"/>
    <cellStyle name="Normal 2 2 2 3 2" xfId="15" xr:uid="{B734F036-24B9-4483-A81F-0F7FD192E6CA}"/>
    <cellStyle name="Normal 2 2 2 4" xfId="16" xr:uid="{A1D04C7F-4CDB-473D-A09A-E74C9629E37F}"/>
    <cellStyle name="Normal 2 2 3" xfId="17" xr:uid="{1B79ABF3-FDF9-4845-8EF5-F0AE60CE5F89}"/>
    <cellStyle name="Normal 2 2 3 2" xfId="18" xr:uid="{E955E616-34D0-4674-ABBF-4DCF15A961B6}"/>
    <cellStyle name="Normal 2 2 3 2 2" xfId="19" xr:uid="{F6BD807D-2AD6-42C3-B587-04027625655B}"/>
    <cellStyle name="Normal 2 2 3 3" xfId="20" xr:uid="{06D7691C-D4C0-453B-8841-F400CD2364C9}"/>
    <cellStyle name="Normal 2 2 4" xfId="21" xr:uid="{F1D98409-D3EA-43E5-B830-0A2BFD8B2579}"/>
    <cellStyle name="Normal 2 2 4 2" xfId="22" xr:uid="{3282C97C-7543-4982-A0EC-32CA02927CEF}"/>
    <cellStyle name="Normal 2 3" xfId="23" xr:uid="{DBB36166-03AF-4899-8E87-A74A75070A0E}"/>
    <cellStyle name="Normal 2 4" xfId="24" xr:uid="{B343455D-0B6E-429C-9819-91D6DE6F1F44}"/>
    <cellStyle name="Normal 2 5" xfId="25" xr:uid="{C1533670-33BC-4068-9586-E38145EF7FD6}"/>
    <cellStyle name="Normal 2 6" xfId="26" xr:uid="{1B7E417D-02EC-49A9-B48C-6ED2D58C6783}"/>
    <cellStyle name="Normal 2 6 2" xfId="27" xr:uid="{E2FEFB00-D2D1-4054-9127-95FA8D0995FE}"/>
    <cellStyle name="Normal 2 6 2 2" xfId="28" xr:uid="{D96DAF1C-25A9-4398-A19B-96B09AF016F4}"/>
    <cellStyle name="Normal 2 6 2 2 2" xfId="29" xr:uid="{29FAA6A7-6C1E-485C-A79C-5EDBF434B141}"/>
    <cellStyle name="Normal 2 6 2 3" xfId="30" xr:uid="{C8EBC922-96E1-40EE-9FA0-4BD0F0049387}"/>
    <cellStyle name="Normal 2 6 3" xfId="31" xr:uid="{888495FB-C4EB-423B-9CFD-0B1CF4EE7169}"/>
    <cellStyle name="Normal 2 6 3 2" xfId="32" xr:uid="{0F44E21E-3629-4829-83CB-B2B5EE4D5428}"/>
    <cellStyle name="Normal 2 7" xfId="33" xr:uid="{F8739180-D479-4197-8B12-88AED2172B55}"/>
    <cellStyle name="Normal 2 7 2" xfId="34" xr:uid="{469EF68D-384E-4866-84A7-8D3BC0D2A4CA}"/>
    <cellStyle name="Normal 2 8" xfId="35" xr:uid="{29626C1D-949A-445B-A608-A0CC7394F46B}"/>
    <cellStyle name="Normal 3" xfId="36" xr:uid="{97817506-A2DF-465B-8FB0-9FA59346ABA2}"/>
    <cellStyle name="Normal 6" xfId="37" xr:uid="{A66B39D3-4EDC-4EFD-ADC3-BE7CAD968454}"/>
    <cellStyle name="Normal 6 2" xfId="38" xr:uid="{8AFF3B9E-C495-4B66-900B-46CCC4B8A33F}"/>
    <cellStyle name="Normal 6 3" xfId="39" xr:uid="{5A5C9D3B-52B6-4A44-8DBF-73ADF133AE4C}"/>
    <cellStyle name="Normal 6 4" xfId="40" xr:uid="{4F49E319-0C08-4517-9B32-09C6DF069D66}"/>
    <cellStyle name="Normal 7" xfId="41" xr:uid="{A23F05C0-EE4B-4EA9-9D21-385E8E3C3F79}"/>
    <cellStyle name="Normal 7 2" xfId="42" xr:uid="{E38675DC-74A1-418B-92D5-5838EE6BF472}"/>
    <cellStyle name="Normal 7 3" xfId="43" xr:uid="{6C847136-0140-4FE7-807A-8C9F71366250}"/>
    <cellStyle name="Normal 8 2" xfId="44" xr:uid="{A6255C04-C407-4701-BACC-CE12E1FC3C08}"/>
    <cellStyle name="Normal 9" xfId="45" xr:uid="{F62FC8C8-019F-4F1B-A3D1-2E579C444CC9}"/>
  </cellStyles>
  <dxfs count="96">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sz="1800" b="1" i="0" u="none" strike="noStrike" baseline="0">
                <a:effectLst/>
              </a:rPr>
              <a:t>Risk Assessment Summary</a:t>
            </a:r>
            <a:r>
              <a:rPr lang="en-IN" sz="1800" b="1" i="0" u="none" strike="noStrike" baseline="0"/>
              <a:t> </a:t>
            </a:r>
            <a:endParaRPr lang="en-IN"/>
          </a:p>
        </c:rich>
      </c:tx>
      <c:overlay val="0"/>
    </c:title>
    <c:autoTitleDeleted val="0"/>
    <c:plotArea>
      <c:layout/>
      <c:barChart>
        <c:barDir val="col"/>
        <c:grouping val="clustered"/>
        <c:varyColors val="0"/>
        <c:ser>
          <c:idx val="0"/>
          <c:order val="0"/>
          <c:invertIfNegative val="0"/>
          <c:dPt>
            <c:idx val="0"/>
            <c:invertIfNegative val="0"/>
            <c:bubble3D val="0"/>
            <c:spPr>
              <a:solidFill>
                <a:srgbClr val="92D050"/>
              </a:solidFill>
              <a:ln w="19050">
                <a:solidFill>
                  <a:srgbClr val="92D050"/>
                </a:solidFill>
              </a:ln>
              <a:effectLst/>
            </c:spPr>
            <c:extLst>
              <c:ext xmlns:c16="http://schemas.microsoft.com/office/drawing/2014/chart" uri="{C3380CC4-5D6E-409C-BE32-E72D297353CC}">
                <c16:uniqueId val="{00000001-C798-4D66-85CB-04C710C3D77E}"/>
              </c:ext>
            </c:extLst>
          </c:dPt>
          <c:dPt>
            <c:idx val="1"/>
            <c:invertIfNegative val="0"/>
            <c:bubble3D val="0"/>
            <c:spPr>
              <a:solidFill>
                <a:srgbClr val="FFFF00"/>
              </a:solidFill>
              <a:ln w="12700">
                <a:solidFill>
                  <a:srgbClr val="FFFF00"/>
                </a:solidFill>
                <a:prstDash val="solid"/>
              </a:ln>
            </c:spPr>
            <c:extLst>
              <c:ext xmlns:c16="http://schemas.microsoft.com/office/drawing/2014/chart" uri="{C3380CC4-5D6E-409C-BE32-E72D297353CC}">
                <c16:uniqueId val="{00000003-C798-4D66-85CB-04C710C3D77E}"/>
              </c:ext>
            </c:extLst>
          </c:dPt>
          <c:dPt>
            <c:idx val="2"/>
            <c:invertIfNegative val="0"/>
            <c:bubble3D val="0"/>
            <c:spPr>
              <a:solidFill>
                <a:srgbClr val="FFC000"/>
              </a:solidFill>
              <a:ln w="19050">
                <a:solidFill>
                  <a:srgbClr val="FFC000"/>
                </a:solidFill>
              </a:ln>
              <a:effectLst/>
            </c:spPr>
            <c:extLst>
              <c:ext xmlns:c16="http://schemas.microsoft.com/office/drawing/2014/chart" uri="{C3380CC4-5D6E-409C-BE32-E72D297353CC}">
                <c16:uniqueId val="{00000005-C798-4D66-85CB-04C710C3D77E}"/>
              </c:ext>
            </c:extLst>
          </c:dPt>
          <c:dPt>
            <c:idx val="3"/>
            <c:invertIfNegative val="0"/>
            <c:bubble3D val="0"/>
            <c:spPr>
              <a:solidFill>
                <a:srgbClr val="FF0000"/>
              </a:solidFill>
              <a:ln w="12700">
                <a:solidFill>
                  <a:srgbClr val="FF0000"/>
                </a:solidFill>
                <a:prstDash val="solid"/>
              </a:ln>
            </c:spPr>
            <c:extLst>
              <c:ext xmlns:c16="http://schemas.microsoft.com/office/drawing/2014/chart" uri="{C3380CC4-5D6E-409C-BE32-E72D297353CC}">
                <c16:uniqueId val="{00000007-C798-4D66-85CB-04C710C3D77E}"/>
              </c:ext>
            </c:extLst>
          </c:dPt>
          <c:dLbls>
            <c:spPr>
              <a:noFill/>
              <a:ln w="25400">
                <a:noFill/>
              </a:ln>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Summary!$A$29:$A$32</c:f>
              <c:strCache>
                <c:ptCount val="4"/>
                <c:pt idx="0">
                  <c:v>Low</c:v>
                </c:pt>
                <c:pt idx="1">
                  <c:v>Medium</c:v>
                </c:pt>
                <c:pt idx="2">
                  <c:v>High</c:v>
                </c:pt>
                <c:pt idx="3">
                  <c:v>Critical</c:v>
                </c:pt>
              </c:strCache>
            </c:strRef>
          </c:cat>
          <c:val>
            <c:numRef>
              <c:f>Summary!$B$29:$B$32</c:f>
              <c:numCache>
                <c:formatCode>General</c:formatCode>
                <c:ptCount val="4"/>
                <c:pt idx="0">
                  <c:v>131</c:v>
                </c:pt>
                <c:pt idx="1">
                  <c:v>26</c:v>
                </c:pt>
                <c:pt idx="2">
                  <c:v>3</c:v>
                </c:pt>
                <c:pt idx="3">
                  <c:v>0</c:v>
                </c:pt>
              </c:numCache>
            </c:numRef>
          </c:val>
          <c:extLst>
            <c:ext xmlns:c16="http://schemas.microsoft.com/office/drawing/2014/chart" uri="{C3380CC4-5D6E-409C-BE32-E72D297353CC}">
              <c16:uniqueId val="{00000008-C798-4D66-85CB-04C710C3D77E}"/>
            </c:ext>
          </c:extLst>
        </c:ser>
        <c:dLbls>
          <c:showLegendKey val="0"/>
          <c:showVal val="0"/>
          <c:showCatName val="0"/>
          <c:showSerName val="0"/>
          <c:showPercent val="0"/>
          <c:showBubbleSize val="0"/>
        </c:dLbls>
        <c:gapWidth val="100"/>
        <c:axId val="1651948351"/>
        <c:axId val="1651954111"/>
      </c:barChart>
      <c:catAx>
        <c:axId val="1651948351"/>
        <c:scaling>
          <c:orientation val="minMax"/>
        </c:scaling>
        <c:delete val="1"/>
        <c:axPos val="b"/>
        <c:numFmt formatCode="General" sourceLinked="1"/>
        <c:majorTickMark val="out"/>
        <c:minorTickMark val="none"/>
        <c:tickLblPos val="nextTo"/>
        <c:crossAx val="1651954111"/>
        <c:crosses val="autoZero"/>
        <c:auto val="1"/>
        <c:lblAlgn val="ctr"/>
        <c:lblOffset val="100"/>
        <c:noMultiLvlLbl val="0"/>
      </c:catAx>
      <c:valAx>
        <c:axId val="1651954111"/>
        <c:scaling>
          <c:orientation val="minMax"/>
        </c:scaling>
        <c:delete val="1"/>
        <c:axPos val="l"/>
        <c:numFmt formatCode="General" sourceLinked="1"/>
        <c:majorTickMark val="out"/>
        <c:minorTickMark val="none"/>
        <c:tickLblPos val="nextTo"/>
        <c:crossAx val="1651948351"/>
        <c:crosses val="autoZero"/>
        <c:crossBetween val="between"/>
      </c:valAx>
      <c:spPr>
        <a:noFill/>
        <a:ln w="25400">
          <a:noFill/>
        </a:ln>
      </c:spPr>
    </c:plotArea>
    <c:legend>
      <c:legendPos val="r"/>
      <c:overlay val="0"/>
      <c:spPr>
        <a:noFill/>
        <a:ln w="25400">
          <a:noFill/>
        </a:ln>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Asset Categoty Wise Risk Assessment Summary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Summary!$B$39</c:f>
              <c:strCache>
                <c:ptCount val="1"/>
                <c:pt idx="0">
                  <c:v>Low</c:v>
                </c:pt>
              </c:strCache>
            </c:strRef>
          </c:tx>
          <c:spPr>
            <a:solidFill>
              <a:srgbClr val="92D050"/>
            </a:solidFill>
            <a:ln>
              <a:solidFill>
                <a:srgbClr val="92D050"/>
              </a:solidFill>
            </a:ln>
            <a:effectLst/>
            <a:sp3d>
              <a:contourClr>
                <a:srgbClr val="FFC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Summary!$A$40:$A$43</c:f>
              <c:strCache>
                <c:ptCount val="4"/>
                <c:pt idx="0">
                  <c:v>HR Assets</c:v>
                </c:pt>
                <c:pt idx="1">
                  <c:v>IT Assets</c:v>
                </c:pt>
                <c:pt idx="2">
                  <c:v>Software Assets</c:v>
                </c:pt>
                <c:pt idx="3">
                  <c:v>Process / Service Assets</c:v>
                </c:pt>
              </c:strCache>
            </c:strRef>
          </c:cat>
          <c:val>
            <c:numRef>
              <c:f>Summary!$B$40:$B$43</c:f>
              <c:numCache>
                <c:formatCode>General</c:formatCode>
                <c:ptCount val="4"/>
                <c:pt idx="0">
                  <c:v>22</c:v>
                </c:pt>
                <c:pt idx="1">
                  <c:v>53</c:v>
                </c:pt>
                <c:pt idx="2">
                  <c:v>38</c:v>
                </c:pt>
                <c:pt idx="3">
                  <c:v>18</c:v>
                </c:pt>
              </c:numCache>
            </c:numRef>
          </c:val>
          <c:extLst>
            <c:ext xmlns:c16="http://schemas.microsoft.com/office/drawing/2014/chart" uri="{C3380CC4-5D6E-409C-BE32-E72D297353CC}">
              <c16:uniqueId val="{00000000-5C3A-4004-9BFA-973477E521C3}"/>
            </c:ext>
          </c:extLst>
        </c:ser>
        <c:ser>
          <c:idx val="1"/>
          <c:order val="1"/>
          <c:tx>
            <c:strRef>
              <c:f>Summary!$C$39</c:f>
              <c:strCache>
                <c:ptCount val="1"/>
                <c:pt idx="0">
                  <c:v>Medium</c:v>
                </c:pt>
              </c:strCache>
            </c:strRef>
          </c:tx>
          <c:spPr>
            <a:solidFill>
              <a:srgbClr val="FFFF00"/>
            </a:solidFill>
            <a:ln>
              <a:solidFill>
                <a:srgbClr val="FFFF00"/>
              </a:solidFill>
            </a:ln>
            <a:effectLst/>
            <a:sp3d>
              <a:contourClr>
                <a:srgbClr val="FFFF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Summary!$A$40:$A$43</c:f>
              <c:strCache>
                <c:ptCount val="4"/>
                <c:pt idx="0">
                  <c:v>HR Assets</c:v>
                </c:pt>
                <c:pt idx="1">
                  <c:v>IT Assets</c:v>
                </c:pt>
                <c:pt idx="2">
                  <c:v>Software Assets</c:v>
                </c:pt>
                <c:pt idx="3">
                  <c:v>Process / Service Assets</c:v>
                </c:pt>
              </c:strCache>
            </c:strRef>
          </c:cat>
          <c:val>
            <c:numRef>
              <c:f>Summary!$C$40:$C$43</c:f>
              <c:numCache>
                <c:formatCode>General</c:formatCode>
                <c:ptCount val="4"/>
                <c:pt idx="0">
                  <c:v>4</c:v>
                </c:pt>
                <c:pt idx="1">
                  <c:v>15</c:v>
                </c:pt>
                <c:pt idx="2">
                  <c:v>4</c:v>
                </c:pt>
                <c:pt idx="3">
                  <c:v>3</c:v>
                </c:pt>
              </c:numCache>
            </c:numRef>
          </c:val>
          <c:extLst>
            <c:ext xmlns:c16="http://schemas.microsoft.com/office/drawing/2014/chart" uri="{C3380CC4-5D6E-409C-BE32-E72D297353CC}">
              <c16:uniqueId val="{00000001-5C3A-4004-9BFA-973477E521C3}"/>
            </c:ext>
          </c:extLst>
        </c:ser>
        <c:ser>
          <c:idx val="2"/>
          <c:order val="2"/>
          <c:tx>
            <c:strRef>
              <c:f>Summary!$D$39</c:f>
              <c:strCache>
                <c:ptCount val="1"/>
                <c:pt idx="0">
                  <c:v>High</c:v>
                </c:pt>
              </c:strCache>
            </c:strRef>
          </c:tx>
          <c:spPr>
            <a:solidFill>
              <a:srgbClr val="FFC000"/>
            </a:solidFill>
            <a:ln>
              <a:solidFill>
                <a:srgbClr val="FFC000"/>
              </a:solidFill>
            </a:ln>
            <a:effectLst/>
            <a:sp3d>
              <a:contourClr>
                <a:srgbClr val="92D05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Summary!$A$40:$A$43</c:f>
              <c:strCache>
                <c:ptCount val="4"/>
                <c:pt idx="0">
                  <c:v>HR Assets</c:v>
                </c:pt>
                <c:pt idx="1">
                  <c:v>IT Assets</c:v>
                </c:pt>
                <c:pt idx="2">
                  <c:v>Software Assets</c:v>
                </c:pt>
                <c:pt idx="3">
                  <c:v>Process / Service Assets</c:v>
                </c:pt>
              </c:strCache>
            </c:strRef>
          </c:cat>
          <c:val>
            <c:numRef>
              <c:f>Summary!$D$40:$D$43</c:f>
              <c:numCache>
                <c:formatCode>General</c:formatCode>
                <c:ptCount val="4"/>
                <c:pt idx="0">
                  <c:v>0</c:v>
                </c:pt>
                <c:pt idx="1">
                  <c:v>1</c:v>
                </c:pt>
                <c:pt idx="2">
                  <c:v>0</c:v>
                </c:pt>
                <c:pt idx="3">
                  <c:v>2</c:v>
                </c:pt>
              </c:numCache>
            </c:numRef>
          </c:val>
          <c:extLst>
            <c:ext xmlns:c16="http://schemas.microsoft.com/office/drawing/2014/chart" uri="{C3380CC4-5D6E-409C-BE32-E72D297353CC}">
              <c16:uniqueId val="{00000002-5C3A-4004-9BFA-973477E521C3}"/>
            </c:ext>
          </c:extLst>
        </c:ser>
        <c:dLbls>
          <c:showLegendKey val="0"/>
          <c:showVal val="1"/>
          <c:showCatName val="0"/>
          <c:showSerName val="0"/>
          <c:showPercent val="0"/>
          <c:showBubbleSize val="0"/>
        </c:dLbls>
        <c:gapWidth val="150"/>
        <c:axId val="1305495520"/>
        <c:axId val="1305494560"/>
      </c:barChart>
      <c:catAx>
        <c:axId val="1305495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5494560"/>
        <c:crosses val="autoZero"/>
        <c:auto val="1"/>
        <c:lblAlgn val="ctr"/>
        <c:lblOffset val="100"/>
        <c:noMultiLvlLbl val="0"/>
      </c:catAx>
      <c:valAx>
        <c:axId val="1305494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49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25</xdr:row>
      <xdr:rowOff>9525</xdr:rowOff>
    </xdr:from>
    <xdr:to>
      <xdr:col>5</xdr:col>
      <xdr:colOff>1514475</xdr:colOff>
      <xdr:row>35</xdr:row>
      <xdr:rowOff>152400</xdr:rowOff>
    </xdr:to>
    <xdr:graphicFrame macro="">
      <xdr:nvGraphicFramePr>
        <xdr:cNvPr id="6" name="Chart 5">
          <a:extLst>
            <a:ext uri="{FF2B5EF4-FFF2-40B4-BE49-F238E27FC236}">
              <a16:creationId xmlns:a16="http://schemas.microsoft.com/office/drawing/2014/main" id="{94FE6B70-3E75-4376-AA2B-D4457CB6F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46</xdr:row>
      <xdr:rowOff>0</xdr:rowOff>
    </xdr:from>
    <xdr:to>
      <xdr:col>4</xdr:col>
      <xdr:colOff>1000125</xdr:colOff>
      <xdr:row>66</xdr:row>
      <xdr:rowOff>95250</xdr:rowOff>
    </xdr:to>
    <xdr:graphicFrame macro="">
      <xdr:nvGraphicFramePr>
        <xdr:cNvPr id="7" name="Chart 6">
          <a:extLst>
            <a:ext uri="{FF2B5EF4-FFF2-40B4-BE49-F238E27FC236}">
              <a16:creationId xmlns:a16="http://schemas.microsoft.com/office/drawing/2014/main" id="{D3A77108-39BF-4FC5-9D87-7A6ABB3BC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ima1-my.sharepoint.com/AMS/Pers%20Files/SKP%20eSol/IS%20Asset%20Valuation/Final%20asset%20registe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APPDB/IT/AST701_SKP%20Asset%20li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ervice Asset"/>
      <sheetName val="HR Asset"/>
      <sheetName val="Information Asset"/>
      <sheetName val="Network Asset"/>
      <sheetName val="Computer"/>
      <sheetName val="Server"/>
      <sheetName val="Printer"/>
      <sheetName val="Other Asset"/>
      <sheetName val="Software"/>
      <sheetName val="SWReq"/>
      <sheetName val="PC_STK"/>
      <sheetName val="JNJAL"/>
      <sheetName val="ITEmp"/>
      <sheetName val="XtraID"/>
      <sheetName val="Va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A1" t="str">
            <v>Company Name</v>
          </cell>
          <cell r="B1" t="str">
            <v>Department</v>
          </cell>
          <cell r="C1" t="str">
            <v>City</v>
          </cell>
          <cell r="D1" t="str">
            <v>Comp Type</v>
          </cell>
          <cell r="E1" t="str">
            <v>Software type</v>
          </cell>
          <cell r="F1" t="str">
            <v>Make of PC</v>
          </cell>
          <cell r="G1" t="str">
            <v>Other Asset</v>
          </cell>
        </row>
        <row r="2">
          <cell r="A2" t="str">
            <v>SKP Crossborder Pvt. Ltd.</v>
          </cell>
          <cell r="B2" t="str">
            <v>Business Advisory</v>
          </cell>
          <cell r="C2" t="str">
            <v>Bangalore</v>
          </cell>
          <cell r="D2" t="str">
            <v>Desktop</v>
          </cell>
          <cell r="E2" t="str">
            <v>Payroll</v>
          </cell>
          <cell r="F2" t="str">
            <v>Acer</v>
          </cell>
          <cell r="G2" t="str">
            <v>Pen Drive</v>
          </cell>
        </row>
        <row r="3">
          <cell r="A3" t="str">
            <v>SKP Astral Consulting Pvt. Ltd.</v>
          </cell>
          <cell r="B3" t="str">
            <v>Corporate Services</v>
          </cell>
          <cell r="C3" t="str">
            <v>Hyderabad</v>
          </cell>
          <cell r="D3" t="str">
            <v>Firewall</v>
          </cell>
          <cell r="E3" t="str">
            <v>Windows</v>
          </cell>
          <cell r="F3" t="str">
            <v>Assemble</v>
          </cell>
          <cell r="G3" t="str">
            <v>Spike Guard</v>
          </cell>
        </row>
        <row r="4">
          <cell r="A4" t="str">
            <v>Sudit K. Parekh &amp; Co.</v>
          </cell>
          <cell r="B4" t="str">
            <v>Audit</v>
          </cell>
          <cell r="C4" t="str">
            <v>Delhi</v>
          </cell>
          <cell r="D4" t="str">
            <v>Hub</v>
          </cell>
          <cell r="E4" t="str">
            <v>MS Office</v>
          </cell>
          <cell r="F4" t="str">
            <v>Cisco</v>
          </cell>
          <cell r="G4" t="str">
            <v>Optical Drive</v>
          </cell>
        </row>
        <row r="5">
          <cell r="A5" t="str">
            <v>SKP e-Solutions Pvt. Ltd.</v>
          </cell>
          <cell r="B5" t="str">
            <v>Domestic Tax</v>
          </cell>
          <cell r="C5" t="str">
            <v>Mumbai</v>
          </cell>
          <cell r="D5" t="str">
            <v>Laptop</v>
          </cell>
          <cell r="E5" t="str">
            <v>Antivirus</v>
          </cell>
          <cell r="F5" t="str">
            <v>Dell</v>
          </cell>
          <cell r="G5" t="str">
            <v>Tape</v>
          </cell>
        </row>
        <row r="6">
          <cell r="A6" t="str">
            <v>Jonson &amp; Jonson</v>
          </cell>
          <cell r="B6" t="str">
            <v>Interanational Tax</v>
          </cell>
          <cell r="C6" t="str">
            <v>Pune</v>
          </cell>
          <cell r="D6" t="str">
            <v>Network</v>
          </cell>
          <cell r="E6" t="str">
            <v>Other Software</v>
          </cell>
          <cell r="F6" t="str">
            <v>Dlink</v>
          </cell>
          <cell r="G6" t="str">
            <v>CD</v>
          </cell>
        </row>
        <row r="7">
          <cell r="B7" t="str">
            <v>Domestic F&amp;A</v>
          </cell>
          <cell r="D7" t="str">
            <v>Other</v>
          </cell>
          <cell r="E7" t="str">
            <v>Server</v>
          </cell>
          <cell r="F7" t="str">
            <v>Epson</v>
          </cell>
          <cell r="G7" t="str">
            <v>Floppies</v>
          </cell>
        </row>
        <row r="8">
          <cell r="B8" t="str">
            <v>Offshore Accounting</v>
          </cell>
          <cell r="D8" t="str">
            <v>Print Server</v>
          </cell>
          <cell r="E8" t="str">
            <v>Server Cals</v>
          </cell>
          <cell r="F8" t="str">
            <v>HCL</v>
          </cell>
          <cell r="G8" t="str">
            <v>Mobile</v>
          </cell>
        </row>
        <row r="9">
          <cell r="B9" t="str">
            <v>Offshore Tax</v>
          </cell>
          <cell r="D9" t="str">
            <v>Printer</v>
          </cell>
          <cell r="E9" t="str">
            <v>Free Software</v>
          </cell>
          <cell r="F9" t="str">
            <v>HP</v>
          </cell>
          <cell r="G9" t="str">
            <v>Telephone</v>
          </cell>
        </row>
        <row r="10">
          <cell r="B10" t="str">
            <v>SWS</v>
          </cell>
          <cell r="D10" t="str">
            <v>Rack</v>
          </cell>
          <cell r="F10" t="str">
            <v>IBM</v>
          </cell>
          <cell r="G10" t="str">
            <v>Cupboard</v>
          </cell>
        </row>
        <row r="11">
          <cell r="B11" t="str">
            <v>Support</v>
          </cell>
          <cell r="D11" t="str">
            <v>Router</v>
          </cell>
          <cell r="F11" t="str">
            <v>Linksys</v>
          </cell>
          <cell r="G11" t="str">
            <v>Speaker</v>
          </cell>
        </row>
        <row r="12">
          <cell r="B12" t="str">
            <v>Process ID</v>
          </cell>
          <cell r="D12" t="str">
            <v>Scanner</v>
          </cell>
          <cell r="F12" t="str">
            <v>Other</v>
          </cell>
        </row>
        <row r="13">
          <cell r="B13" t="str">
            <v>Alternet ID</v>
          </cell>
          <cell r="D13" t="str">
            <v>Server</v>
          </cell>
          <cell r="F13" t="str">
            <v>Quantum</v>
          </cell>
        </row>
        <row r="14">
          <cell r="B14" t="str">
            <v>Business Development</v>
          </cell>
          <cell r="D14" t="str">
            <v>Switch</v>
          </cell>
          <cell r="F14" t="str">
            <v>Ricoh</v>
          </cell>
        </row>
        <row r="15">
          <cell r="B15" t="str">
            <v>External ID</v>
          </cell>
          <cell r="D15" t="str">
            <v>Tape Drive</v>
          </cell>
          <cell r="F15" t="str">
            <v>Samsung</v>
          </cell>
        </row>
        <row r="16">
          <cell r="B16" t="str">
            <v>Domestic F&amp;A- JNJ</v>
          </cell>
          <cell r="D16" t="str">
            <v>UPS</v>
          </cell>
          <cell r="F16" t="str">
            <v>Sbay</v>
          </cell>
        </row>
        <row r="17">
          <cell r="B17" t="str">
            <v>IT-Stock</v>
          </cell>
          <cell r="D17" t="str">
            <v>KVM Switch</v>
          </cell>
          <cell r="F17" t="str">
            <v>Toshiba</v>
          </cell>
        </row>
        <row r="18">
          <cell r="D18" t="str">
            <v>Epbex</v>
          </cell>
          <cell r="F18" t="str">
            <v>Iomega</v>
          </cell>
        </row>
        <row r="19">
          <cell r="D19" t="str">
            <v>Spike Guard</v>
          </cell>
          <cell r="F19" t="str">
            <v>Kirloskar</v>
          </cell>
        </row>
        <row r="20">
          <cell r="D20" t="str">
            <v>External- HDD</v>
          </cell>
          <cell r="F20" t="str">
            <v>Panasonic</v>
          </cell>
        </row>
        <row r="21">
          <cell r="D21" t="str">
            <v>Optical Drive</v>
          </cell>
          <cell r="F21" t="str">
            <v>NEC</v>
          </cell>
        </row>
        <row r="22">
          <cell r="D22" t="str">
            <v>Genrator</v>
          </cell>
          <cell r="F22" t="str">
            <v>LG</v>
          </cell>
        </row>
        <row r="23">
          <cell r="D23" t="str">
            <v>FAX</v>
          </cell>
          <cell r="F23" t="str">
            <v>DB Power</v>
          </cell>
        </row>
        <row r="24">
          <cell r="D24" t="str">
            <v>Projector</v>
          </cell>
          <cell r="F24" t="str">
            <v>APC</v>
          </cell>
        </row>
        <row r="25">
          <cell r="D25" t="str">
            <v>AC</v>
          </cell>
          <cell r="F25" t="str">
            <v>Other</v>
          </cell>
        </row>
        <row r="26">
          <cell r="D26" t="str">
            <v>Internal- HDD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
      <sheetName val="SWReq"/>
      <sheetName val="SWList"/>
      <sheetName val="PC_STK"/>
      <sheetName val="JNJAL"/>
      <sheetName val="ITEmp"/>
      <sheetName val="XtraID"/>
      <sheetName val="HREMP"/>
      <sheetName val="ServerAssets"/>
      <sheetName val="Validation"/>
      <sheetName val="Mail SRV email-ac"/>
      <sheetName val="Mail SRV Name"/>
      <sheetName val="Bombay Email Location"/>
    </sheetNames>
    <sheetDataSet>
      <sheetData sheetId="0"/>
      <sheetData sheetId="1"/>
      <sheetData sheetId="2"/>
      <sheetData sheetId="3"/>
      <sheetData sheetId="4"/>
      <sheetData sheetId="5"/>
      <sheetData sheetId="6"/>
      <sheetData sheetId="7"/>
      <sheetData sheetId="8"/>
      <sheetData sheetId="9">
        <row r="1">
          <cell r="A1" t="str">
            <v>Company Name</v>
          </cell>
          <cell r="B1" t="str">
            <v>Department</v>
          </cell>
          <cell r="D1" t="str">
            <v>Comp Type</v>
          </cell>
        </row>
        <row r="2">
          <cell r="A2" t="str">
            <v>SKP Crossborder Pvt. Ltd.</v>
          </cell>
          <cell r="B2" t="str">
            <v>Business Advisory</v>
          </cell>
          <cell r="D2" t="str">
            <v>Desktop</v>
          </cell>
        </row>
        <row r="3">
          <cell r="A3" t="str">
            <v>SKP Astral Consulting Pvt. Ltd.</v>
          </cell>
          <cell r="B3" t="str">
            <v>Corporate Services</v>
          </cell>
          <cell r="D3" t="str">
            <v>Firewall</v>
          </cell>
        </row>
        <row r="4">
          <cell r="A4" t="str">
            <v>Sudit K. Parekh &amp; Co.</v>
          </cell>
          <cell r="B4" t="str">
            <v>Audit</v>
          </cell>
          <cell r="D4" t="str">
            <v>Hub</v>
          </cell>
        </row>
        <row r="5">
          <cell r="A5" t="str">
            <v>SKP e-Solutions Pvt. Ltd.</v>
          </cell>
          <cell r="B5" t="str">
            <v>Domestic Tax</v>
          </cell>
          <cell r="D5" t="str">
            <v>Laptop</v>
          </cell>
        </row>
        <row r="6">
          <cell r="A6" t="str">
            <v>Jonson &amp; Jonson</v>
          </cell>
          <cell r="B6" t="str">
            <v>Interanational Tax</v>
          </cell>
          <cell r="D6" t="str">
            <v>Network</v>
          </cell>
        </row>
        <row r="7">
          <cell r="B7" t="str">
            <v>Domestic F&amp;A</v>
          </cell>
          <cell r="D7" t="str">
            <v>Other</v>
          </cell>
        </row>
        <row r="8">
          <cell r="B8" t="str">
            <v>Offshore Accounting</v>
          </cell>
          <cell r="D8" t="str">
            <v>Print Server</v>
          </cell>
        </row>
        <row r="9">
          <cell r="B9" t="str">
            <v>Offshore Tax</v>
          </cell>
          <cell r="D9" t="str">
            <v>Printer</v>
          </cell>
        </row>
        <row r="10">
          <cell r="B10" t="str">
            <v>SWS</v>
          </cell>
          <cell r="D10" t="str">
            <v>Rack</v>
          </cell>
        </row>
        <row r="11">
          <cell r="B11" t="str">
            <v>Support</v>
          </cell>
          <cell r="D11" t="str">
            <v>Router</v>
          </cell>
        </row>
        <row r="12">
          <cell r="B12" t="str">
            <v>Process ID</v>
          </cell>
          <cell r="D12" t="str">
            <v>Scanner</v>
          </cell>
        </row>
        <row r="13">
          <cell r="B13" t="str">
            <v>Alternet ID</v>
          </cell>
          <cell r="D13" t="str">
            <v>Server</v>
          </cell>
        </row>
        <row r="14">
          <cell r="B14" t="str">
            <v>Business Development</v>
          </cell>
          <cell r="D14" t="str">
            <v>Switch</v>
          </cell>
        </row>
        <row r="15">
          <cell r="B15" t="str">
            <v>External ID</v>
          </cell>
          <cell r="D15" t="str">
            <v>Tape Drive</v>
          </cell>
        </row>
        <row r="16">
          <cell r="B16" t="str">
            <v>Domestic F&amp;A- JNJ</v>
          </cell>
        </row>
        <row r="17">
          <cell r="B17" t="str">
            <v>IT-Stock</v>
          </cell>
        </row>
      </sheetData>
      <sheetData sheetId="10"/>
      <sheetData sheetId="11"/>
      <sheetData sheetId="1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3A950-1BDB-4D30-BAD6-B0E610588AB7}">
  <dimension ref="A1:G18"/>
  <sheetViews>
    <sheetView showGridLines="0" workbookViewId="0">
      <selection activeCell="B6" sqref="B6"/>
    </sheetView>
  </sheetViews>
  <sheetFormatPr baseColWidth="10" defaultColWidth="9" defaultRowHeight="14" x14ac:dyDescent="0.2"/>
  <cols>
    <col min="1" max="1" width="32" style="74" bestFit="1" customWidth="1"/>
    <col min="2" max="2" width="20.5" style="74" customWidth="1"/>
    <col min="3" max="3" width="50.83203125" style="74" customWidth="1"/>
    <col min="4" max="4" width="27.83203125" style="74" bestFit="1" customWidth="1"/>
    <col min="5" max="5" width="17.6640625" style="74" bestFit="1" customWidth="1"/>
    <col min="6" max="6" width="13.6640625" style="74" bestFit="1" customWidth="1"/>
    <col min="7" max="16384" width="9" style="74"/>
  </cols>
  <sheetData>
    <row r="1" spans="1:7" ht="15.5" customHeight="1" x14ac:dyDescent="0.2">
      <c r="A1" s="167" t="s">
        <v>258</v>
      </c>
      <c r="B1" s="167"/>
      <c r="C1" s="167"/>
      <c r="D1" s="167"/>
      <c r="E1" s="167"/>
      <c r="F1" s="167"/>
      <c r="G1" s="167"/>
    </row>
    <row r="3" spans="1:7" ht="16" x14ac:dyDescent="0.2">
      <c r="A3" s="90" t="s">
        <v>259</v>
      </c>
      <c r="B3" s="90" t="s">
        <v>260</v>
      </c>
    </row>
    <row r="4" spans="1:7" ht="16" x14ac:dyDescent="0.2">
      <c r="A4" s="90" t="s">
        <v>261</v>
      </c>
      <c r="B4" s="91" t="s">
        <v>803</v>
      </c>
    </row>
    <row r="5" spans="1:7" ht="16" x14ac:dyDescent="0.2">
      <c r="A5" s="90" t="s">
        <v>262</v>
      </c>
      <c r="B5" s="92">
        <v>45566</v>
      </c>
    </row>
    <row r="6" spans="1:7" ht="16" x14ac:dyDescent="0.2">
      <c r="A6" s="90" t="s">
        <v>263</v>
      </c>
      <c r="B6" s="92" t="s">
        <v>872</v>
      </c>
    </row>
    <row r="8" spans="1:7" ht="16" x14ac:dyDescent="0.2">
      <c r="A8" s="90" t="s">
        <v>264</v>
      </c>
    </row>
    <row r="10" spans="1:7" s="47" customFormat="1" ht="34" x14ac:dyDescent="0.2">
      <c r="A10" s="93" t="s">
        <v>265</v>
      </c>
      <c r="B10" s="93" t="s">
        <v>266</v>
      </c>
      <c r="C10" s="93" t="s">
        <v>444</v>
      </c>
      <c r="D10" s="93" t="s">
        <v>445</v>
      </c>
      <c r="E10" s="93" t="s">
        <v>446</v>
      </c>
      <c r="F10" s="93" t="s">
        <v>447</v>
      </c>
      <c r="G10" s="93" t="s">
        <v>267</v>
      </c>
    </row>
    <row r="11" spans="1:7" ht="15" x14ac:dyDescent="0.2">
      <c r="A11" s="94">
        <v>1</v>
      </c>
      <c r="B11" s="111">
        <v>45566</v>
      </c>
      <c r="C11" s="96" t="s">
        <v>268</v>
      </c>
      <c r="D11" s="97" t="s">
        <v>871</v>
      </c>
      <c r="E11" s="96" t="s">
        <v>871</v>
      </c>
      <c r="F11" s="96"/>
      <c r="G11" s="95">
        <v>45566</v>
      </c>
    </row>
    <row r="12" spans="1:7" ht="105" x14ac:dyDescent="0.2">
      <c r="A12" s="94">
        <v>2</v>
      </c>
      <c r="B12" s="111">
        <v>45670</v>
      </c>
      <c r="C12" s="97" t="s">
        <v>450</v>
      </c>
      <c r="D12" s="97" t="s">
        <v>871</v>
      </c>
      <c r="E12" s="96" t="s">
        <v>871</v>
      </c>
      <c r="F12" s="96"/>
      <c r="G12" s="112" t="s">
        <v>448</v>
      </c>
    </row>
    <row r="13" spans="1:7" ht="60" x14ac:dyDescent="0.2">
      <c r="A13" s="94">
        <v>3</v>
      </c>
      <c r="B13" s="111">
        <v>45731</v>
      </c>
      <c r="C13" s="113" t="s">
        <v>870</v>
      </c>
      <c r="D13" s="97" t="s">
        <v>871</v>
      </c>
      <c r="E13" s="96" t="s">
        <v>871</v>
      </c>
      <c r="F13" s="96"/>
      <c r="G13" s="112" t="s">
        <v>448</v>
      </c>
    </row>
    <row r="14" spans="1:7" x14ac:dyDescent="0.2">
      <c r="A14" s="98"/>
      <c r="B14" s="79"/>
      <c r="C14" s="96"/>
      <c r="D14" s="96"/>
      <c r="E14" s="96"/>
      <c r="F14" s="96"/>
      <c r="G14" s="96"/>
    </row>
    <row r="15" spans="1:7" x14ac:dyDescent="0.2">
      <c r="A15" s="98"/>
      <c r="B15" s="79"/>
      <c r="C15" s="96"/>
      <c r="D15" s="96"/>
      <c r="E15" s="96"/>
      <c r="F15" s="96"/>
      <c r="G15" s="96"/>
    </row>
    <row r="16" spans="1:7" x14ac:dyDescent="0.2">
      <c r="A16" s="98"/>
      <c r="B16" s="79"/>
      <c r="C16" s="96"/>
      <c r="D16" s="96"/>
      <c r="E16" s="96"/>
      <c r="F16" s="96"/>
      <c r="G16" s="96"/>
    </row>
    <row r="17" spans="1:7" x14ac:dyDescent="0.2">
      <c r="A17" s="98"/>
      <c r="B17" s="79"/>
      <c r="C17" s="96"/>
      <c r="D17" s="96"/>
      <c r="E17" s="96"/>
      <c r="F17" s="96"/>
      <c r="G17" s="96"/>
    </row>
    <row r="18" spans="1:7" x14ac:dyDescent="0.2">
      <c r="A18" s="98"/>
      <c r="B18" s="79"/>
      <c r="C18" s="96"/>
      <c r="D18" s="96"/>
      <c r="E18" s="96"/>
      <c r="F18" s="96"/>
      <c r="G18" s="96"/>
    </row>
  </sheetData>
  <mergeCells count="1">
    <mergeCell ref="A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11EFF-9021-4549-9C57-D56E515E7211}">
  <dimension ref="A2:D14"/>
  <sheetViews>
    <sheetView workbookViewId="0">
      <selection activeCell="B4" sqref="B4"/>
    </sheetView>
  </sheetViews>
  <sheetFormatPr baseColWidth="10" defaultColWidth="8.83203125" defaultRowHeight="13" x14ac:dyDescent="0.15"/>
  <cols>
    <col min="1" max="1" width="18.6640625" bestFit="1" customWidth="1"/>
    <col min="2" max="2" width="25.83203125" bestFit="1" customWidth="1"/>
    <col min="3" max="3" width="13.83203125" bestFit="1" customWidth="1"/>
    <col min="4" max="4" width="8.83203125" bestFit="1" customWidth="1"/>
  </cols>
  <sheetData>
    <row r="2" spans="1:4" ht="18" x14ac:dyDescent="0.2">
      <c r="A2" s="48" t="s">
        <v>269</v>
      </c>
    </row>
    <row r="4" spans="1:4" ht="14" x14ac:dyDescent="0.15">
      <c r="A4" s="55" t="s">
        <v>270</v>
      </c>
      <c r="B4" s="55" t="s">
        <v>271</v>
      </c>
      <c r="C4" s="55" t="s">
        <v>272</v>
      </c>
      <c r="D4" s="55" t="s">
        <v>51</v>
      </c>
    </row>
    <row r="5" spans="1:4" ht="14" x14ac:dyDescent="0.2">
      <c r="A5" s="49">
        <v>1</v>
      </c>
      <c r="B5" s="50" t="s">
        <v>836</v>
      </c>
      <c r="C5" s="51"/>
      <c r="D5" s="51"/>
    </row>
    <row r="6" spans="1:4" ht="14" x14ac:dyDescent="0.2">
      <c r="A6" s="49">
        <v>2</v>
      </c>
      <c r="B6" s="51" t="s">
        <v>273</v>
      </c>
      <c r="C6" s="51"/>
      <c r="D6" s="51"/>
    </row>
    <row r="7" spans="1:4" ht="14" x14ac:dyDescent="0.2">
      <c r="A7" s="49">
        <v>3</v>
      </c>
      <c r="B7" s="50" t="s">
        <v>837</v>
      </c>
      <c r="C7" s="51"/>
      <c r="D7" s="51"/>
    </row>
    <row r="8" spans="1:4" ht="14" x14ac:dyDescent="0.2">
      <c r="A8" s="49">
        <v>4</v>
      </c>
      <c r="B8" s="50" t="s">
        <v>296</v>
      </c>
      <c r="C8" s="51"/>
      <c r="D8" s="51"/>
    </row>
    <row r="9" spans="1:4" ht="15" x14ac:dyDescent="0.2">
      <c r="A9" s="52"/>
      <c r="B9" s="54" t="s">
        <v>274</v>
      </c>
      <c r="C9" s="52"/>
      <c r="D9" s="52"/>
    </row>
    <row r="10" spans="1:4" ht="14" x14ac:dyDescent="0.2">
      <c r="A10" s="49">
        <v>5</v>
      </c>
      <c r="B10" s="50" t="s">
        <v>297</v>
      </c>
      <c r="C10" s="53" t="s">
        <v>275</v>
      </c>
      <c r="D10" s="53"/>
    </row>
    <row r="11" spans="1:4" ht="14" x14ac:dyDescent="0.2">
      <c r="A11" s="49">
        <v>6</v>
      </c>
      <c r="B11" s="50" t="s">
        <v>298</v>
      </c>
      <c r="C11" s="53" t="s">
        <v>275</v>
      </c>
      <c r="D11" s="53"/>
    </row>
    <row r="12" spans="1:4" ht="14" x14ac:dyDescent="0.2">
      <c r="A12" s="49">
        <v>7</v>
      </c>
      <c r="B12" s="50" t="s">
        <v>299</v>
      </c>
      <c r="C12" s="53" t="s">
        <v>275</v>
      </c>
      <c r="D12" s="53"/>
    </row>
    <row r="13" spans="1:4" ht="14" x14ac:dyDescent="0.2">
      <c r="A13" s="49">
        <v>8</v>
      </c>
      <c r="B13" s="50" t="s">
        <v>300</v>
      </c>
      <c r="C13" s="53" t="s">
        <v>275</v>
      </c>
      <c r="D13" s="53"/>
    </row>
    <row r="14" spans="1:4" ht="14" x14ac:dyDescent="0.2">
      <c r="A14" s="49">
        <v>9</v>
      </c>
      <c r="B14" s="50" t="s">
        <v>330</v>
      </c>
      <c r="C14" s="53" t="s">
        <v>330</v>
      </c>
      <c r="D14" s="51"/>
    </row>
  </sheetData>
  <hyperlinks>
    <hyperlink ref="B7" location="Summary!A1" display="Summary and Methodology" xr:uid="{A2972EC7-D51D-45CB-A132-8350CF816EDB}"/>
    <hyperlink ref="B8" location="'Asset register'!A1" display="Asset Register" xr:uid="{8F2CC449-CB01-49C2-8D18-3F47039D76A8}"/>
    <hyperlink ref="B14" location="RTP!A1" display="RTP-Summary" xr:uid="{03174EB0-084D-4EAC-BED1-959C02503D37}"/>
    <hyperlink ref="B10" location="'HR Asset'!A1" display="RA - HR Asset" xr:uid="{D532C68E-51C0-4897-BC87-F75810DFB59A}"/>
    <hyperlink ref="B11" location="'IT Assets'!A1" display="RA - IT Assets" xr:uid="{63CAC726-99A1-4BB3-B7AD-DD1858F09873}"/>
    <hyperlink ref="B12" location="'Software Assets'!A1" display="RA - Software Assets" xr:uid="{3698EBA0-7088-43A6-984A-F7D19F817BB9}"/>
    <hyperlink ref="B13" location="'Process (Service) Assets'!A1" display="RA -  Process Assets" xr:uid="{3AC57FF2-ED75-48F6-BAB0-924DA381C7B8}"/>
    <hyperlink ref="B5" location="'Cover Page'!A1" display="Cover Page and version history" xr:uid="{4FA48588-4A3C-47DA-B6FE-3F78AAE5A5C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1F17A-E028-4991-9531-33EFB8F66AFC}">
  <dimension ref="A1:AK52"/>
  <sheetViews>
    <sheetView zoomScaleNormal="100" workbookViewId="0">
      <selection activeCell="E5" sqref="E5"/>
    </sheetView>
  </sheetViews>
  <sheetFormatPr baseColWidth="10" defaultColWidth="9" defaultRowHeight="14" x14ac:dyDescent="0.2"/>
  <cols>
    <col min="1" max="1" width="13.6640625" style="74" customWidth="1"/>
    <col min="2" max="2" width="21.33203125" style="74" customWidth="1"/>
    <col min="3" max="3" width="19.5" style="74" bestFit="1" customWidth="1"/>
    <col min="4" max="5" width="18.6640625" style="74" customWidth="1"/>
    <col min="6" max="6" width="40.83203125" style="74" bestFit="1" customWidth="1"/>
    <col min="7" max="7" width="23.5" style="74" bestFit="1" customWidth="1"/>
    <col min="8" max="9" width="23.5" style="74" customWidth="1"/>
    <col min="10" max="10" width="15.6640625" style="74" bestFit="1" customWidth="1"/>
    <col min="11" max="11" width="40.83203125" style="74" bestFit="1" customWidth="1"/>
    <col min="12" max="12" width="26.33203125" style="74" bestFit="1" customWidth="1"/>
    <col min="13" max="13" width="19.5" style="74" customWidth="1"/>
    <col min="14" max="35" width="13.5" style="74" customWidth="1"/>
    <col min="36" max="36" width="12.33203125" style="74" customWidth="1"/>
    <col min="37" max="16384" width="9" style="74"/>
  </cols>
  <sheetData>
    <row r="1" spans="1:37" ht="27" thickBot="1" x14ac:dyDescent="0.25">
      <c r="A1" s="173" t="s">
        <v>333</v>
      </c>
      <c r="B1" s="173"/>
      <c r="C1" s="173"/>
      <c r="D1" s="173"/>
      <c r="E1" s="173"/>
      <c r="F1" s="173"/>
      <c r="G1" s="173"/>
      <c r="H1" s="173"/>
      <c r="I1" s="173"/>
      <c r="J1" s="173"/>
      <c r="K1" s="173"/>
      <c r="L1" s="173"/>
      <c r="M1" s="173"/>
    </row>
    <row r="2" spans="1:37" ht="15" thickBot="1" x14ac:dyDescent="0.25">
      <c r="A2" s="180" t="s">
        <v>838</v>
      </c>
      <c r="B2" s="181"/>
      <c r="C2" s="181"/>
      <c r="D2" s="182"/>
      <c r="F2" s="183" t="s">
        <v>863</v>
      </c>
      <c r="G2" s="184"/>
      <c r="H2" s="185"/>
    </row>
    <row r="3" spans="1:37" ht="30" x14ac:dyDescent="0.2">
      <c r="A3" s="118" t="s">
        <v>844</v>
      </c>
      <c r="B3" s="75" t="s">
        <v>845</v>
      </c>
      <c r="C3" s="75" t="s">
        <v>846</v>
      </c>
      <c r="D3" s="119" t="s">
        <v>847</v>
      </c>
      <c r="E3" s="73"/>
      <c r="F3" s="118" t="s">
        <v>849</v>
      </c>
      <c r="G3" s="75" t="s">
        <v>859</v>
      </c>
      <c r="H3" s="119" t="s">
        <v>860</v>
      </c>
      <c r="I3" s="78"/>
      <c r="J3" s="128" t="s">
        <v>865</v>
      </c>
      <c r="K3" s="129" t="s">
        <v>866</v>
      </c>
      <c r="L3" s="129" t="s">
        <v>867</v>
      </c>
      <c r="M3" s="130" t="s">
        <v>868</v>
      </c>
    </row>
    <row r="4" spans="1:37" x14ac:dyDescent="0.2">
      <c r="A4" s="120" t="s">
        <v>839</v>
      </c>
      <c r="B4" s="114" t="s">
        <v>839</v>
      </c>
      <c r="C4" s="114" t="s">
        <v>839</v>
      </c>
      <c r="D4" s="170" t="s">
        <v>848</v>
      </c>
      <c r="E4" s="73"/>
      <c r="F4" s="125" t="s">
        <v>850</v>
      </c>
      <c r="G4" s="115" t="s">
        <v>854</v>
      </c>
      <c r="H4" s="170" t="s">
        <v>862</v>
      </c>
      <c r="I4" s="78"/>
      <c r="J4" s="168" t="s">
        <v>330</v>
      </c>
      <c r="K4" s="68" t="s">
        <v>850</v>
      </c>
      <c r="L4" s="115" t="s">
        <v>854</v>
      </c>
      <c r="M4" s="170" t="s">
        <v>869</v>
      </c>
    </row>
    <row r="5" spans="1:37" x14ac:dyDescent="0.2">
      <c r="A5" s="120" t="s">
        <v>840</v>
      </c>
      <c r="B5" s="114" t="s">
        <v>840</v>
      </c>
      <c r="C5" s="114" t="s">
        <v>840</v>
      </c>
      <c r="D5" s="171"/>
      <c r="E5" s="73"/>
      <c r="F5" s="125" t="s">
        <v>851</v>
      </c>
      <c r="G5" s="115" t="s">
        <v>855</v>
      </c>
      <c r="H5" s="171"/>
      <c r="I5" s="78"/>
      <c r="J5" s="168"/>
      <c r="K5" s="68" t="s">
        <v>851</v>
      </c>
      <c r="L5" s="115" t="s">
        <v>855</v>
      </c>
      <c r="M5" s="171"/>
    </row>
    <row r="6" spans="1:37" x14ac:dyDescent="0.2">
      <c r="A6" s="120" t="s">
        <v>841</v>
      </c>
      <c r="B6" s="114" t="s">
        <v>841</v>
      </c>
      <c r="C6" s="114" t="s">
        <v>841</v>
      </c>
      <c r="D6" s="171"/>
      <c r="E6" s="73"/>
      <c r="F6" s="125" t="s">
        <v>852</v>
      </c>
      <c r="G6" s="115" t="s">
        <v>856</v>
      </c>
      <c r="H6" s="171"/>
      <c r="I6" s="78"/>
      <c r="J6" s="168"/>
      <c r="K6" s="68" t="s">
        <v>852</v>
      </c>
      <c r="L6" s="115" t="s">
        <v>856</v>
      </c>
      <c r="M6" s="171"/>
    </row>
    <row r="7" spans="1:37" x14ac:dyDescent="0.2">
      <c r="A7" s="120" t="s">
        <v>842</v>
      </c>
      <c r="B7" s="114" t="s">
        <v>842</v>
      </c>
      <c r="C7" s="114" t="s">
        <v>842</v>
      </c>
      <c r="D7" s="171"/>
      <c r="E7" s="73"/>
      <c r="F7" s="125" t="s">
        <v>861</v>
      </c>
      <c r="G7" s="115" t="s">
        <v>857</v>
      </c>
      <c r="H7" s="171"/>
      <c r="I7" s="78"/>
      <c r="J7" s="168"/>
      <c r="K7" s="68" t="s">
        <v>861</v>
      </c>
      <c r="L7" s="115" t="s">
        <v>857</v>
      </c>
      <c r="M7" s="171"/>
    </row>
    <row r="8" spans="1:37" ht="15" thickBot="1" x14ac:dyDescent="0.25">
      <c r="A8" s="122" t="s">
        <v>843</v>
      </c>
      <c r="B8" s="123" t="s">
        <v>843</v>
      </c>
      <c r="C8" s="123" t="s">
        <v>843</v>
      </c>
      <c r="D8" s="172"/>
      <c r="E8" s="73"/>
      <c r="F8" s="126" t="s">
        <v>853</v>
      </c>
      <c r="G8" s="127" t="s">
        <v>858</v>
      </c>
      <c r="H8" s="172"/>
      <c r="I8" s="78"/>
      <c r="J8" s="169"/>
      <c r="K8" s="132" t="s">
        <v>853</v>
      </c>
      <c r="L8" s="127" t="s">
        <v>858</v>
      </c>
      <c r="M8" s="172"/>
    </row>
    <row r="9" spans="1:37" x14ac:dyDescent="0.2">
      <c r="D9" s="73"/>
      <c r="E9" s="73"/>
      <c r="F9" s="73"/>
      <c r="G9" s="73"/>
      <c r="H9" s="73"/>
      <c r="I9" s="73"/>
      <c r="O9" s="83"/>
      <c r="P9" s="83"/>
      <c r="Q9" s="83"/>
      <c r="R9" s="83"/>
      <c r="S9" s="83"/>
      <c r="T9" s="83"/>
      <c r="U9" s="83"/>
      <c r="V9" s="83"/>
      <c r="W9" s="83"/>
      <c r="X9" s="83"/>
      <c r="Y9" s="83"/>
      <c r="Z9" s="83"/>
      <c r="AA9" s="83"/>
      <c r="AB9" s="83"/>
      <c r="AC9" s="83"/>
      <c r="AD9" s="83"/>
      <c r="AE9" s="83"/>
      <c r="AF9" s="83"/>
      <c r="AG9" s="83"/>
      <c r="AH9" s="83"/>
      <c r="AI9" s="83"/>
      <c r="AJ9" s="83"/>
    </row>
    <row r="10" spans="1:37" s="69" customFormat="1" ht="26.25" customHeight="1" thickBot="1" x14ac:dyDescent="0.25">
      <c r="G10" s="76"/>
      <c r="H10" s="76"/>
      <c r="I10" s="76"/>
      <c r="O10" s="74"/>
      <c r="P10" s="74"/>
      <c r="Q10" s="74"/>
      <c r="R10" s="74"/>
      <c r="S10" s="74"/>
      <c r="T10" s="74"/>
      <c r="U10" s="74"/>
      <c r="V10" s="74"/>
      <c r="W10" s="74"/>
      <c r="X10" s="74"/>
      <c r="Y10" s="74"/>
      <c r="Z10" s="74"/>
      <c r="AA10" s="74"/>
      <c r="AB10" s="74"/>
      <c r="AC10" s="74"/>
      <c r="AD10" s="74"/>
      <c r="AE10" s="74"/>
      <c r="AF10" s="74"/>
      <c r="AG10" s="74"/>
      <c r="AH10" s="74"/>
      <c r="AI10" s="74"/>
      <c r="AJ10" s="74"/>
      <c r="AK10" s="74"/>
    </row>
    <row r="11" spans="1:37" ht="14.25" customHeight="1" x14ac:dyDescent="0.2">
      <c r="A11" s="133" t="s">
        <v>23</v>
      </c>
      <c r="B11" s="134" t="s">
        <v>18</v>
      </c>
      <c r="C11" s="186" t="s">
        <v>19</v>
      </c>
      <c r="D11" s="186"/>
      <c r="E11" s="186"/>
      <c r="F11" s="187"/>
      <c r="G11" s="78"/>
      <c r="H11" s="78"/>
      <c r="I11" s="78"/>
    </row>
    <row r="12" spans="1:37" ht="24.5" customHeight="1" x14ac:dyDescent="0.2">
      <c r="A12" s="188" t="s">
        <v>833</v>
      </c>
      <c r="B12" s="190" t="s">
        <v>20</v>
      </c>
      <c r="C12" s="177" t="s">
        <v>808</v>
      </c>
      <c r="D12" s="177"/>
      <c r="E12" s="177"/>
      <c r="F12" s="170"/>
      <c r="G12" s="78"/>
      <c r="H12" s="78"/>
      <c r="I12" s="78"/>
    </row>
    <row r="13" spans="1:37" ht="14.25" customHeight="1" x14ac:dyDescent="0.2">
      <c r="A13" s="189"/>
      <c r="B13" s="190"/>
      <c r="C13" s="177"/>
      <c r="D13" s="177"/>
      <c r="E13" s="177"/>
      <c r="F13" s="170"/>
      <c r="G13" s="78"/>
      <c r="H13" s="78"/>
      <c r="I13" s="78"/>
    </row>
    <row r="14" spans="1:37" x14ac:dyDescent="0.2">
      <c r="A14" s="188" t="s">
        <v>809</v>
      </c>
      <c r="B14" s="191" t="s">
        <v>21</v>
      </c>
      <c r="C14" s="177" t="s">
        <v>810</v>
      </c>
      <c r="D14" s="177"/>
      <c r="E14" s="177"/>
      <c r="F14" s="170"/>
      <c r="G14" s="80"/>
      <c r="H14" s="80"/>
      <c r="I14" s="80"/>
    </row>
    <row r="15" spans="1:37" x14ac:dyDescent="0.2">
      <c r="A15" s="189"/>
      <c r="B15" s="191"/>
      <c r="C15" s="177"/>
      <c r="D15" s="177"/>
      <c r="E15" s="177"/>
      <c r="F15" s="170"/>
      <c r="G15" s="80"/>
      <c r="H15" s="80"/>
      <c r="I15" s="80"/>
    </row>
    <row r="16" spans="1:37" ht="14.25" customHeight="1" x14ac:dyDescent="0.2">
      <c r="A16" s="189"/>
      <c r="B16" s="191"/>
      <c r="C16" s="177"/>
      <c r="D16" s="177"/>
      <c r="E16" s="177"/>
      <c r="F16" s="170"/>
      <c r="G16" s="78"/>
      <c r="H16" s="78"/>
      <c r="I16" s="78"/>
    </row>
    <row r="17" spans="1:14" x14ac:dyDescent="0.2">
      <c r="A17" s="197" t="s">
        <v>811</v>
      </c>
      <c r="B17" s="200" t="s">
        <v>22</v>
      </c>
      <c r="C17" s="177" t="s">
        <v>812</v>
      </c>
      <c r="D17" s="177"/>
      <c r="E17" s="177"/>
      <c r="F17" s="170"/>
      <c r="G17" s="78"/>
      <c r="H17" s="78"/>
      <c r="I17" s="78"/>
    </row>
    <row r="18" spans="1:14" x14ac:dyDescent="0.2">
      <c r="A18" s="198"/>
      <c r="B18" s="201"/>
      <c r="C18" s="177"/>
      <c r="D18" s="177"/>
      <c r="E18" s="177"/>
      <c r="F18" s="170"/>
      <c r="G18" s="78"/>
      <c r="H18" s="78"/>
      <c r="I18" s="78"/>
    </row>
    <row r="19" spans="1:14" x14ac:dyDescent="0.2">
      <c r="A19" s="198"/>
      <c r="B19" s="201"/>
      <c r="C19" s="177"/>
      <c r="D19" s="177"/>
      <c r="E19" s="177"/>
      <c r="F19" s="170"/>
      <c r="G19" s="78"/>
      <c r="H19" s="78"/>
      <c r="I19" s="78"/>
    </row>
    <row r="20" spans="1:14" ht="13.25" customHeight="1" x14ac:dyDescent="0.2">
      <c r="A20" s="199"/>
      <c r="B20" s="202"/>
      <c r="C20" s="177"/>
      <c r="D20" s="177"/>
      <c r="E20" s="177"/>
      <c r="F20" s="170"/>
      <c r="G20" s="82"/>
      <c r="H20" s="82"/>
      <c r="I20" s="82"/>
    </row>
    <row r="21" spans="1:14" x14ac:dyDescent="0.2">
      <c r="A21" s="197" t="s">
        <v>813</v>
      </c>
      <c r="B21" s="174" t="s">
        <v>334</v>
      </c>
      <c r="C21" s="177" t="s">
        <v>814</v>
      </c>
      <c r="D21" s="177"/>
      <c r="E21" s="177"/>
      <c r="F21" s="170"/>
      <c r="G21" s="82"/>
      <c r="H21" s="82"/>
      <c r="I21" s="82"/>
    </row>
    <row r="22" spans="1:14" x14ac:dyDescent="0.2">
      <c r="A22" s="198"/>
      <c r="B22" s="175"/>
      <c r="C22" s="177"/>
      <c r="D22" s="177"/>
      <c r="E22" s="177"/>
      <c r="F22" s="170"/>
      <c r="G22" s="82"/>
      <c r="H22" s="82"/>
      <c r="I22" s="82"/>
    </row>
    <row r="23" spans="1:14" x14ac:dyDescent="0.2">
      <c r="A23" s="198"/>
      <c r="B23" s="175"/>
      <c r="C23" s="177"/>
      <c r="D23" s="177"/>
      <c r="E23" s="177"/>
      <c r="F23" s="170"/>
      <c r="G23" s="82"/>
      <c r="H23" s="82"/>
      <c r="I23" s="82"/>
    </row>
    <row r="24" spans="1:14" ht="15" thickBot="1" x14ac:dyDescent="0.25">
      <c r="A24" s="203"/>
      <c r="B24" s="176"/>
      <c r="C24" s="178"/>
      <c r="D24" s="178"/>
      <c r="E24" s="178"/>
      <c r="F24" s="179"/>
    </row>
    <row r="25" spans="1:14" s="81" customFormat="1" x14ac:dyDescent="0.2">
      <c r="G25" s="74"/>
      <c r="H25" s="74"/>
      <c r="I25" s="74"/>
      <c r="J25" s="74"/>
      <c r="K25" s="74"/>
      <c r="L25" s="74"/>
      <c r="M25" s="74"/>
      <c r="N25" s="74"/>
    </row>
    <row r="26" spans="1:14" s="81" customFormat="1" ht="15" thickBot="1" x14ac:dyDescent="0.25">
      <c r="G26" s="74"/>
      <c r="H26" s="74"/>
      <c r="I26" s="74"/>
      <c r="J26" s="74"/>
      <c r="K26" s="74"/>
      <c r="L26" s="74"/>
      <c r="M26" s="74"/>
      <c r="N26" s="74"/>
    </row>
    <row r="27" spans="1:14" s="81" customFormat="1" x14ac:dyDescent="0.2">
      <c r="A27" s="192" t="s">
        <v>800</v>
      </c>
      <c r="B27" s="193"/>
      <c r="C27" s="74"/>
      <c r="D27" s="74"/>
      <c r="E27" s="74"/>
      <c r="G27" s="74"/>
      <c r="H27" s="74"/>
      <c r="I27" s="74"/>
      <c r="J27" s="74"/>
      <c r="K27" s="74"/>
      <c r="L27" s="74"/>
      <c r="M27" s="74"/>
      <c r="N27" s="74"/>
    </row>
    <row r="28" spans="1:14" s="81" customFormat="1" ht="30" x14ac:dyDescent="0.2">
      <c r="A28" s="131" t="s">
        <v>332</v>
      </c>
      <c r="B28" s="119" t="s">
        <v>835</v>
      </c>
      <c r="C28" s="74"/>
      <c r="D28" s="74"/>
      <c r="E28" s="74"/>
      <c r="G28" s="74"/>
      <c r="H28" s="74"/>
      <c r="I28" s="74"/>
      <c r="N28" s="74"/>
    </row>
    <row r="29" spans="1:14" s="81" customFormat="1" x14ac:dyDescent="0.2">
      <c r="A29" s="135" t="s">
        <v>825</v>
      </c>
      <c r="B29" s="136">
        <v>131</v>
      </c>
      <c r="C29" s="74"/>
      <c r="D29" s="74"/>
      <c r="E29" s="74"/>
      <c r="G29" s="74"/>
      <c r="H29" s="74"/>
      <c r="I29" s="74"/>
      <c r="N29" s="74"/>
    </row>
    <row r="30" spans="1:14" s="81" customFormat="1" x14ac:dyDescent="0.2">
      <c r="A30" s="137" t="s">
        <v>449</v>
      </c>
      <c r="B30" s="136">
        <v>26</v>
      </c>
      <c r="C30" s="74"/>
      <c r="D30" s="74"/>
      <c r="E30" s="74"/>
      <c r="G30" s="74"/>
      <c r="H30" s="74"/>
      <c r="I30" s="74"/>
      <c r="N30" s="74"/>
    </row>
    <row r="31" spans="1:14" s="81" customFormat="1" x14ac:dyDescent="0.2">
      <c r="A31" s="138" t="s">
        <v>13</v>
      </c>
      <c r="B31" s="136">
        <v>3</v>
      </c>
      <c r="C31" s="74"/>
      <c r="D31" s="74"/>
      <c r="E31" s="74"/>
      <c r="G31" s="74"/>
      <c r="H31" s="74"/>
      <c r="I31" s="74"/>
      <c r="N31" s="74"/>
    </row>
    <row r="32" spans="1:14" s="81" customFormat="1" ht="15" thickBot="1" x14ac:dyDescent="0.25">
      <c r="A32" s="139" t="s">
        <v>254</v>
      </c>
      <c r="B32" s="140">
        <v>0</v>
      </c>
      <c r="C32" s="74"/>
      <c r="D32" s="74"/>
      <c r="E32" s="74"/>
      <c r="G32" s="74"/>
      <c r="H32" s="74"/>
      <c r="I32" s="74"/>
      <c r="N32" s="74"/>
    </row>
    <row r="33" spans="1:14" s="81" customFormat="1" x14ac:dyDescent="0.2">
      <c r="G33" s="74"/>
      <c r="H33" s="74"/>
      <c r="I33" s="74"/>
      <c r="N33" s="74"/>
    </row>
    <row r="34" spans="1:14" s="81" customFormat="1" x14ac:dyDescent="0.2">
      <c r="G34" s="74"/>
      <c r="H34" s="74"/>
      <c r="I34" s="74"/>
      <c r="N34" s="74"/>
    </row>
    <row r="35" spans="1:14" s="81" customFormat="1" x14ac:dyDescent="0.2">
      <c r="G35" s="74"/>
      <c r="H35" s="74"/>
      <c r="I35" s="74"/>
      <c r="N35" s="74"/>
    </row>
    <row r="36" spans="1:14" s="81" customFormat="1" ht="13.25" customHeight="1" x14ac:dyDescent="0.2">
      <c r="G36" s="74"/>
      <c r="H36" s="74"/>
      <c r="I36" s="74"/>
      <c r="J36" s="74"/>
      <c r="K36" s="74"/>
      <c r="L36" s="74"/>
      <c r="M36" s="74"/>
      <c r="N36" s="74"/>
    </row>
    <row r="37" spans="1:14" s="81" customFormat="1" ht="15" thickBot="1" x14ac:dyDescent="0.25">
      <c r="G37" s="74"/>
      <c r="H37" s="74"/>
      <c r="I37" s="74"/>
      <c r="J37" s="74"/>
      <c r="K37" s="74"/>
      <c r="L37" s="74"/>
      <c r="M37" s="74"/>
      <c r="N37" s="74"/>
    </row>
    <row r="38" spans="1:14" s="81" customFormat="1" x14ac:dyDescent="0.2">
      <c r="A38" s="194" t="s">
        <v>864</v>
      </c>
      <c r="B38" s="195"/>
      <c r="C38" s="195"/>
      <c r="D38" s="195"/>
      <c r="E38" s="196"/>
      <c r="G38" s="74"/>
      <c r="H38" s="74"/>
      <c r="I38" s="74"/>
      <c r="J38" s="74"/>
      <c r="K38" s="74"/>
      <c r="L38" s="74"/>
      <c r="M38" s="74"/>
      <c r="N38" s="74"/>
    </row>
    <row r="39" spans="1:14" s="81" customFormat="1" x14ac:dyDescent="0.2">
      <c r="A39" s="141" t="s">
        <v>801</v>
      </c>
      <c r="B39" s="83" t="s">
        <v>825</v>
      </c>
      <c r="C39" s="83" t="s">
        <v>449</v>
      </c>
      <c r="D39" s="83" t="s">
        <v>13</v>
      </c>
      <c r="E39" s="136" t="s">
        <v>802</v>
      </c>
      <c r="G39" s="74"/>
      <c r="H39" s="74"/>
      <c r="I39" s="74"/>
      <c r="J39" s="74"/>
      <c r="K39" s="74"/>
      <c r="L39" s="74"/>
      <c r="M39" s="74"/>
      <c r="N39" s="74"/>
    </row>
    <row r="40" spans="1:14" s="81" customFormat="1" x14ac:dyDescent="0.2">
      <c r="A40" s="141" t="s">
        <v>295</v>
      </c>
      <c r="B40" s="79">
        <v>22</v>
      </c>
      <c r="C40" s="79">
        <v>4</v>
      </c>
      <c r="D40" s="79">
        <v>0</v>
      </c>
      <c r="E40" s="121">
        <f>SUM(B40:D40)</f>
        <v>26</v>
      </c>
      <c r="G40" s="74"/>
      <c r="H40" s="74"/>
      <c r="I40" s="74"/>
      <c r="J40" s="74"/>
      <c r="K40" s="74"/>
      <c r="L40" s="74"/>
      <c r="M40" s="74"/>
      <c r="N40" s="74"/>
    </row>
    <row r="41" spans="1:14" s="81" customFormat="1" x14ac:dyDescent="0.2">
      <c r="A41" s="141" t="s">
        <v>797</v>
      </c>
      <c r="B41" s="79">
        <v>53</v>
      </c>
      <c r="C41" s="79">
        <v>15</v>
      </c>
      <c r="D41" s="79">
        <v>1</v>
      </c>
      <c r="E41" s="121">
        <f>SUM(B41:D41)</f>
        <v>69</v>
      </c>
      <c r="G41" s="74"/>
      <c r="H41" s="74"/>
      <c r="I41" s="74"/>
      <c r="J41" s="74"/>
      <c r="K41" s="74"/>
      <c r="L41" s="74"/>
      <c r="M41" s="74"/>
      <c r="N41" s="74"/>
    </row>
    <row r="42" spans="1:14" s="81" customFormat="1" x14ac:dyDescent="0.2">
      <c r="A42" s="141" t="s">
        <v>798</v>
      </c>
      <c r="B42" s="79">
        <v>38</v>
      </c>
      <c r="C42" s="79">
        <v>4</v>
      </c>
      <c r="D42" s="79">
        <v>0</v>
      </c>
      <c r="E42" s="121">
        <f>SUM(B42:D42)</f>
        <v>42</v>
      </c>
      <c r="G42" s="74"/>
      <c r="H42" s="74"/>
      <c r="I42" s="74"/>
      <c r="J42" s="74"/>
      <c r="K42" s="74"/>
      <c r="L42" s="74"/>
      <c r="M42" s="74"/>
      <c r="N42" s="74"/>
    </row>
    <row r="43" spans="1:14" s="81" customFormat="1" ht="15" thickBot="1" x14ac:dyDescent="0.25">
      <c r="A43" s="142" t="s">
        <v>799</v>
      </c>
      <c r="B43" s="143">
        <v>18</v>
      </c>
      <c r="C43" s="143">
        <v>3</v>
      </c>
      <c r="D43" s="143">
        <v>2</v>
      </c>
      <c r="E43" s="124">
        <f>SUM(B43:D43)</f>
        <v>23</v>
      </c>
      <c r="G43" s="74"/>
      <c r="H43" s="74"/>
      <c r="I43" s="74"/>
      <c r="J43" s="74"/>
      <c r="K43" s="74"/>
      <c r="L43" s="74"/>
      <c r="M43" s="74"/>
      <c r="N43" s="74"/>
    </row>
    <row r="44" spans="1:14" s="81" customFormat="1" ht="15" thickBot="1" x14ac:dyDescent="0.25">
      <c r="A44" s="74"/>
      <c r="B44" s="74"/>
      <c r="C44" s="74"/>
      <c r="D44" s="74"/>
      <c r="E44" s="74"/>
      <c r="G44" s="74"/>
      <c r="H44" s="74"/>
      <c r="I44" s="74"/>
      <c r="J44" s="74"/>
      <c r="K44" s="74"/>
      <c r="L44" s="74"/>
      <c r="M44" s="74"/>
      <c r="N44" s="74"/>
    </row>
    <row r="45" spans="1:14" s="81" customFormat="1" ht="15" thickBot="1" x14ac:dyDescent="0.25">
      <c r="A45" s="144" t="s">
        <v>331</v>
      </c>
      <c r="B45" s="145">
        <f>SUM(B40:B43)</f>
        <v>131</v>
      </c>
      <c r="C45" s="145">
        <f>SUM(C40:C43)</f>
        <v>26</v>
      </c>
      <c r="D45" s="145">
        <f>SUM(D40:D43)</f>
        <v>3</v>
      </c>
      <c r="E45" s="146">
        <f>SUM(E40:E43)</f>
        <v>160</v>
      </c>
      <c r="G45" s="74"/>
      <c r="H45" s="74"/>
      <c r="I45" s="74"/>
      <c r="J45" s="74"/>
      <c r="K45" s="74"/>
      <c r="L45" s="74"/>
      <c r="M45" s="74"/>
      <c r="N45" s="74"/>
    </row>
    <row r="46" spans="1:14" s="81" customFormat="1" x14ac:dyDescent="0.2">
      <c r="G46" s="74"/>
      <c r="H46" s="74"/>
      <c r="I46" s="74"/>
      <c r="J46" s="74"/>
      <c r="K46" s="74"/>
      <c r="L46" s="74"/>
      <c r="M46" s="74"/>
      <c r="N46" s="74"/>
    </row>
    <row r="47" spans="1:14" s="81" customFormat="1" x14ac:dyDescent="0.2">
      <c r="G47" s="74"/>
      <c r="H47" s="74"/>
      <c r="I47" s="74"/>
      <c r="J47" s="74"/>
      <c r="K47" s="74"/>
      <c r="L47" s="74"/>
      <c r="M47" s="74"/>
      <c r="N47" s="74"/>
    </row>
    <row r="48" spans="1:14" s="81" customFormat="1" x14ac:dyDescent="0.2">
      <c r="G48" s="74"/>
      <c r="H48" s="74"/>
      <c r="I48" s="74"/>
      <c r="J48" s="74"/>
      <c r="K48" s="74"/>
      <c r="L48" s="74"/>
      <c r="M48" s="74"/>
      <c r="N48" s="74"/>
    </row>
    <row r="49" spans="7:14" s="81" customFormat="1" x14ac:dyDescent="0.2">
      <c r="G49" s="74"/>
      <c r="H49" s="74"/>
      <c r="I49" s="74"/>
      <c r="J49" s="74"/>
      <c r="K49" s="74"/>
      <c r="L49" s="74"/>
      <c r="M49" s="74"/>
      <c r="N49" s="74"/>
    </row>
    <row r="50" spans="7:14" s="81" customFormat="1" x14ac:dyDescent="0.2">
      <c r="G50" s="74"/>
      <c r="H50" s="74"/>
      <c r="I50" s="74"/>
      <c r="J50" s="74"/>
      <c r="K50" s="74"/>
      <c r="L50" s="74"/>
      <c r="M50" s="74"/>
      <c r="N50" s="74"/>
    </row>
    <row r="51" spans="7:14" s="81" customFormat="1" x14ac:dyDescent="0.2">
      <c r="G51" s="74"/>
      <c r="H51" s="74"/>
      <c r="I51" s="74"/>
      <c r="J51" s="74"/>
      <c r="K51" s="74"/>
      <c r="L51" s="74"/>
      <c r="M51" s="74"/>
      <c r="N51" s="74"/>
    </row>
    <row r="52" spans="7:14" s="81" customFormat="1" x14ac:dyDescent="0.2">
      <c r="G52" s="74"/>
      <c r="H52" s="74"/>
      <c r="I52" s="74"/>
      <c r="J52" s="74"/>
      <c r="K52" s="74"/>
      <c r="L52" s="74"/>
      <c r="M52" s="74"/>
      <c r="N52" s="74"/>
    </row>
  </sheetData>
  <mergeCells count="22">
    <mergeCell ref="A27:B27"/>
    <mergeCell ref="A38:E38"/>
    <mergeCell ref="A17:A20"/>
    <mergeCell ref="B17:B20"/>
    <mergeCell ref="C17:F20"/>
    <mergeCell ref="A21:A24"/>
    <mergeCell ref="J4:J8"/>
    <mergeCell ref="M4:M8"/>
    <mergeCell ref="A1:M1"/>
    <mergeCell ref="B21:B24"/>
    <mergeCell ref="C21:F24"/>
    <mergeCell ref="D4:D8"/>
    <mergeCell ref="A2:D2"/>
    <mergeCell ref="H4:H8"/>
    <mergeCell ref="F2:H2"/>
    <mergeCell ref="C11:F11"/>
    <mergeCell ref="A12:A13"/>
    <mergeCell ref="B12:B13"/>
    <mergeCell ref="C12:F13"/>
    <mergeCell ref="A14:A16"/>
    <mergeCell ref="B14:B16"/>
    <mergeCell ref="C14:F16"/>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A1967-EABD-4D7C-8CF5-66C1B34FCE77}">
  <dimension ref="A1:M235"/>
  <sheetViews>
    <sheetView zoomScaleNormal="100" workbookViewId="0">
      <pane xSplit="3" ySplit="2" topLeftCell="D127" activePane="bottomRight" state="frozen"/>
      <selection pane="topRight" activeCell="D1" sqref="D1"/>
      <selection pane="bottomLeft" activeCell="A3" sqref="A3"/>
      <selection pane="bottomRight" activeCell="B231" sqref="B231"/>
    </sheetView>
  </sheetViews>
  <sheetFormatPr baseColWidth="10" defaultColWidth="9" defaultRowHeight="14" x14ac:dyDescent="0.2"/>
  <cols>
    <col min="1" max="1" width="3.5" style="69" bestFit="1" customWidth="1"/>
    <col min="2" max="2" width="30.33203125" style="69" customWidth="1"/>
    <col min="3" max="3" width="35.5" style="69" customWidth="1"/>
    <col min="4" max="4" width="22.5" style="69" bestFit="1" customWidth="1"/>
    <col min="5" max="5" width="28" style="89" customWidth="1"/>
    <col min="6" max="6" width="26" style="69" bestFit="1" customWidth="1"/>
    <col min="7" max="7" width="14.1640625" style="69" bestFit="1" customWidth="1"/>
    <col min="8" max="8" width="8.5" style="69" bestFit="1" customWidth="1"/>
    <col min="9" max="9" width="11" style="69" bestFit="1" customWidth="1"/>
    <col min="10" max="10" width="11.83203125" style="69" bestFit="1" customWidth="1"/>
    <col min="11" max="11" width="15.33203125" style="69" bestFit="1" customWidth="1"/>
    <col min="12" max="12" width="20.33203125" style="69" bestFit="1" customWidth="1"/>
    <col min="13" max="13" width="52" style="69" bestFit="1" customWidth="1"/>
    <col min="14" max="16384" width="9" style="69"/>
  </cols>
  <sheetData>
    <row r="1" spans="1:13" ht="24" x14ac:dyDescent="0.2">
      <c r="A1" s="207" t="s">
        <v>276</v>
      </c>
      <c r="B1" s="207"/>
      <c r="C1" s="207"/>
      <c r="D1" s="207"/>
      <c r="E1" s="207"/>
      <c r="F1" s="207"/>
      <c r="G1" s="207"/>
      <c r="H1" s="207"/>
      <c r="I1" s="207"/>
      <c r="J1" s="207"/>
      <c r="K1" s="207"/>
      <c r="L1" s="207"/>
      <c r="M1" s="207"/>
    </row>
    <row r="2" spans="1:13" ht="15" x14ac:dyDescent="0.2">
      <c r="A2" s="99" t="s">
        <v>550</v>
      </c>
      <c r="B2" s="99" t="s">
        <v>277</v>
      </c>
      <c r="C2" s="99" t="s">
        <v>278</v>
      </c>
      <c r="D2" s="99" t="s">
        <v>279</v>
      </c>
      <c r="E2" s="100" t="s">
        <v>280</v>
      </c>
      <c r="F2" s="99" t="s">
        <v>238</v>
      </c>
      <c r="G2" s="99" t="s">
        <v>336</v>
      </c>
      <c r="H2" s="99" t="s">
        <v>337</v>
      </c>
      <c r="I2" s="99" t="s">
        <v>338</v>
      </c>
      <c r="J2" s="99" t="s">
        <v>339</v>
      </c>
      <c r="K2" s="99" t="s">
        <v>4</v>
      </c>
      <c r="L2" s="99" t="s">
        <v>281</v>
      </c>
      <c r="M2" s="99" t="s">
        <v>282</v>
      </c>
    </row>
    <row r="3" spans="1:13" ht="15" x14ac:dyDescent="0.2">
      <c r="A3" s="208">
        <v>1</v>
      </c>
      <c r="B3" s="101" t="s">
        <v>295</v>
      </c>
      <c r="C3" s="102" t="s">
        <v>451</v>
      </c>
      <c r="D3" s="101">
        <v>1</v>
      </c>
      <c r="E3" s="103" t="s">
        <v>322</v>
      </c>
      <c r="F3" s="101" t="s">
        <v>240</v>
      </c>
      <c r="G3" s="101">
        <v>4</v>
      </c>
      <c r="H3" s="101">
        <v>3</v>
      </c>
      <c r="I3" s="101">
        <v>3</v>
      </c>
      <c r="J3" s="101">
        <f>(G3+H3+I3)</f>
        <v>10</v>
      </c>
      <c r="K3" s="101" t="str">
        <f>IF(J3&lt;=4,"Low",IF(AND(J3&gt;4,J3&lt;=8),"Medium",IF(AND(J3&gt;8,J3&lt;=11),"High",IF(AND(J3&gt;11,J3&lt;=15),"Critical","Error"))))</f>
        <v>High</v>
      </c>
      <c r="L3" s="101" t="str">
        <f t="shared" ref="L3:L16" si="0">IF(G3&lt;=1,"Public",IF(AND(G3&gt;1,G3&lt;=3),"Internal",IF(AND(G3&gt;3,G3&lt;=5),"Confidential","Error")))</f>
        <v>Confidential</v>
      </c>
      <c r="M3" s="101" t="s">
        <v>241</v>
      </c>
    </row>
    <row r="4" spans="1:13" ht="15" x14ac:dyDescent="0.2">
      <c r="A4" s="209"/>
      <c r="B4" s="101" t="s">
        <v>295</v>
      </c>
      <c r="C4" s="102" t="s">
        <v>452</v>
      </c>
      <c r="D4" s="101">
        <v>1</v>
      </c>
      <c r="E4" s="103" t="s">
        <v>322</v>
      </c>
      <c r="F4" s="101" t="s">
        <v>240</v>
      </c>
      <c r="G4" s="101">
        <v>4</v>
      </c>
      <c r="H4" s="101">
        <v>3</v>
      </c>
      <c r="I4" s="101">
        <v>3</v>
      </c>
      <c r="J4" s="101">
        <f t="shared" ref="J4:J94" si="1">(G4+H4+I4)</f>
        <v>10</v>
      </c>
      <c r="K4" s="101" t="str">
        <f t="shared" ref="K4:K94" si="2">IF(J4&lt;=4,"Low",IF(AND(J4&gt;4,J4&lt;=8),"Medium",IF(AND(J4&gt;8,J4&lt;=11),"High",IF(AND(J4&gt;11,J4&lt;=15),"Critical","Error"))))</f>
        <v>High</v>
      </c>
      <c r="L4" s="101" t="str">
        <f t="shared" si="0"/>
        <v>Confidential</v>
      </c>
      <c r="M4" s="101" t="s">
        <v>241</v>
      </c>
    </row>
    <row r="5" spans="1:13" ht="15" x14ac:dyDescent="0.2">
      <c r="A5" s="209"/>
      <c r="B5" s="101" t="s">
        <v>295</v>
      </c>
      <c r="C5" s="102" t="s">
        <v>453</v>
      </c>
      <c r="D5" s="101">
        <v>2</v>
      </c>
      <c r="E5" s="103" t="s">
        <v>322</v>
      </c>
      <c r="F5" s="101" t="s">
        <v>240</v>
      </c>
      <c r="G5" s="101">
        <v>4</v>
      </c>
      <c r="H5" s="101">
        <v>3</v>
      </c>
      <c r="I5" s="101">
        <v>3</v>
      </c>
      <c r="J5" s="101">
        <f t="shared" si="1"/>
        <v>10</v>
      </c>
      <c r="K5" s="101" t="str">
        <f t="shared" si="2"/>
        <v>High</v>
      </c>
      <c r="L5" s="101" t="str">
        <f t="shared" si="0"/>
        <v>Confidential</v>
      </c>
      <c r="M5" s="101" t="s">
        <v>241</v>
      </c>
    </row>
    <row r="6" spans="1:13" ht="15" x14ac:dyDescent="0.2">
      <c r="A6" s="209"/>
      <c r="B6" s="101" t="s">
        <v>295</v>
      </c>
      <c r="C6" s="102" t="s">
        <v>454</v>
      </c>
      <c r="D6" s="101">
        <v>2</v>
      </c>
      <c r="E6" s="103" t="s">
        <v>322</v>
      </c>
      <c r="F6" s="101" t="s">
        <v>240</v>
      </c>
      <c r="G6" s="101">
        <v>4</v>
      </c>
      <c r="H6" s="101">
        <v>3</v>
      </c>
      <c r="I6" s="101">
        <v>3</v>
      </c>
      <c r="J6" s="101">
        <f t="shared" si="1"/>
        <v>10</v>
      </c>
      <c r="K6" s="101" t="str">
        <f t="shared" si="2"/>
        <v>High</v>
      </c>
      <c r="L6" s="101" t="str">
        <f t="shared" si="0"/>
        <v>Confidential</v>
      </c>
      <c r="M6" s="101" t="s">
        <v>241</v>
      </c>
    </row>
    <row r="7" spans="1:13" ht="15" x14ac:dyDescent="0.2">
      <c r="A7" s="209"/>
      <c r="B7" s="101" t="s">
        <v>295</v>
      </c>
      <c r="C7" s="102" t="s">
        <v>340</v>
      </c>
      <c r="D7" s="101">
        <v>2</v>
      </c>
      <c r="E7" s="103" t="s">
        <v>322</v>
      </c>
      <c r="F7" s="101" t="s">
        <v>240</v>
      </c>
      <c r="G7" s="101">
        <v>4</v>
      </c>
      <c r="H7" s="101">
        <v>3</v>
      </c>
      <c r="I7" s="101">
        <v>3</v>
      </c>
      <c r="J7" s="101">
        <f t="shared" si="1"/>
        <v>10</v>
      </c>
      <c r="K7" s="101" t="str">
        <f t="shared" si="2"/>
        <v>High</v>
      </c>
      <c r="L7" s="101" t="str">
        <f t="shared" si="0"/>
        <v>Confidential</v>
      </c>
      <c r="M7" s="101" t="s">
        <v>241</v>
      </c>
    </row>
    <row r="8" spans="1:13" ht="15" x14ac:dyDescent="0.2">
      <c r="A8" s="209"/>
      <c r="B8" s="101" t="s">
        <v>295</v>
      </c>
      <c r="C8" s="102" t="s">
        <v>341</v>
      </c>
      <c r="D8" s="101">
        <v>1</v>
      </c>
      <c r="E8" s="103" t="s">
        <v>322</v>
      </c>
      <c r="F8" s="101" t="s">
        <v>240</v>
      </c>
      <c r="G8" s="101">
        <v>4</v>
      </c>
      <c r="H8" s="101">
        <v>3</v>
      </c>
      <c r="I8" s="101">
        <v>3</v>
      </c>
      <c r="J8" s="101">
        <f t="shared" si="1"/>
        <v>10</v>
      </c>
      <c r="K8" s="101" t="str">
        <f t="shared" si="2"/>
        <v>High</v>
      </c>
      <c r="L8" s="101" t="str">
        <f t="shared" si="0"/>
        <v>Confidential</v>
      </c>
      <c r="M8" s="101" t="s">
        <v>241</v>
      </c>
    </row>
    <row r="9" spans="1:13" ht="15" x14ac:dyDescent="0.2">
      <c r="A9" s="209"/>
      <c r="B9" s="101" t="s">
        <v>295</v>
      </c>
      <c r="C9" s="102" t="s">
        <v>630</v>
      </c>
      <c r="D9" s="101">
        <v>1</v>
      </c>
      <c r="E9" s="103" t="s">
        <v>342</v>
      </c>
      <c r="F9" s="101" t="s">
        <v>240</v>
      </c>
      <c r="G9" s="101">
        <v>4</v>
      </c>
      <c r="H9" s="101">
        <v>3</v>
      </c>
      <c r="I9" s="101">
        <v>3</v>
      </c>
      <c r="J9" s="101">
        <f t="shared" si="1"/>
        <v>10</v>
      </c>
      <c r="K9" s="101" t="str">
        <f t="shared" si="2"/>
        <v>High</v>
      </c>
      <c r="L9" s="101" t="str">
        <f t="shared" si="0"/>
        <v>Confidential</v>
      </c>
      <c r="M9" s="101" t="s">
        <v>241</v>
      </c>
    </row>
    <row r="10" spans="1:13" ht="30" x14ac:dyDescent="0.2">
      <c r="A10" s="209"/>
      <c r="B10" s="101" t="s">
        <v>295</v>
      </c>
      <c r="C10" s="102" t="s">
        <v>73</v>
      </c>
      <c r="D10" s="101">
        <v>3</v>
      </c>
      <c r="E10" s="103" t="s">
        <v>343</v>
      </c>
      <c r="F10" s="101" t="s">
        <v>240</v>
      </c>
      <c r="G10" s="101">
        <v>4</v>
      </c>
      <c r="H10" s="101">
        <v>3</v>
      </c>
      <c r="I10" s="101">
        <v>3</v>
      </c>
      <c r="J10" s="101">
        <f t="shared" si="1"/>
        <v>10</v>
      </c>
      <c r="K10" s="101" t="str">
        <f t="shared" si="2"/>
        <v>High</v>
      </c>
      <c r="L10" s="101" t="str">
        <f t="shared" si="0"/>
        <v>Confidential</v>
      </c>
      <c r="M10" s="101" t="s">
        <v>241</v>
      </c>
    </row>
    <row r="11" spans="1:13" ht="180" x14ac:dyDescent="0.2">
      <c r="A11" s="209"/>
      <c r="B11" s="101" t="s">
        <v>295</v>
      </c>
      <c r="C11" s="103" t="s">
        <v>648</v>
      </c>
      <c r="D11" s="101" t="s">
        <v>635</v>
      </c>
      <c r="E11" s="103" t="s">
        <v>650</v>
      </c>
      <c r="F11" s="101" t="s">
        <v>240</v>
      </c>
      <c r="G11" s="101">
        <v>2</v>
      </c>
      <c r="H11" s="101">
        <v>4</v>
      </c>
      <c r="I11" s="101">
        <v>4</v>
      </c>
      <c r="J11" s="101">
        <f t="shared" si="1"/>
        <v>10</v>
      </c>
      <c r="K11" s="101" t="str">
        <f t="shared" si="2"/>
        <v>High</v>
      </c>
      <c r="L11" s="101" t="str">
        <f t="shared" si="0"/>
        <v>Internal</v>
      </c>
      <c r="M11" s="101" t="s">
        <v>241</v>
      </c>
    </row>
    <row r="12" spans="1:13" ht="45" x14ac:dyDescent="0.2">
      <c r="A12" s="209"/>
      <c r="B12" s="101" t="s">
        <v>295</v>
      </c>
      <c r="C12" s="102" t="s">
        <v>344</v>
      </c>
      <c r="D12" s="101">
        <v>5</v>
      </c>
      <c r="E12" s="103" t="s">
        <v>824</v>
      </c>
      <c r="F12" s="101" t="s">
        <v>240</v>
      </c>
      <c r="G12" s="101">
        <v>4</v>
      </c>
      <c r="H12" s="101">
        <v>3</v>
      </c>
      <c r="I12" s="101">
        <v>3</v>
      </c>
      <c r="J12" s="101">
        <f t="shared" si="1"/>
        <v>10</v>
      </c>
      <c r="K12" s="101" t="str">
        <f t="shared" si="2"/>
        <v>High</v>
      </c>
      <c r="L12" s="101" t="str">
        <f t="shared" si="0"/>
        <v>Confidential</v>
      </c>
      <c r="M12" s="101" t="s">
        <v>241</v>
      </c>
    </row>
    <row r="13" spans="1:13" ht="60" x14ac:dyDescent="0.2">
      <c r="A13" s="209"/>
      <c r="B13" s="101" t="s">
        <v>295</v>
      </c>
      <c r="C13" s="102" t="s">
        <v>646</v>
      </c>
      <c r="D13" s="101" t="s">
        <v>649</v>
      </c>
      <c r="E13" s="103" t="s">
        <v>651</v>
      </c>
      <c r="F13" s="101" t="s">
        <v>240</v>
      </c>
      <c r="G13" s="101">
        <v>4</v>
      </c>
      <c r="H13" s="101">
        <v>3</v>
      </c>
      <c r="I13" s="101">
        <v>3</v>
      </c>
      <c r="J13" s="101">
        <f t="shared" si="1"/>
        <v>10</v>
      </c>
      <c r="K13" s="101" t="str">
        <f t="shared" si="2"/>
        <v>High</v>
      </c>
      <c r="L13" s="101" t="str">
        <f t="shared" si="0"/>
        <v>Confidential</v>
      </c>
      <c r="M13" s="101" t="s">
        <v>241</v>
      </c>
    </row>
    <row r="14" spans="1:13" ht="30" x14ac:dyDescent="0.2">
      <c r="A14" s="209"/>
      <c r="B14" s="101" t="s">
        <v>295</v>
      </c>
      <c r="C14" s="103" t="s">
        <v>74</v>
      </c>
      <c r="D14" s="101" t="s">
        <v>241</v>
      </c>
      <c r="E14" s="103" t="s">
        <v>324</v>
      </c>
      <c r="F14" s="101" t="s">
        <v>240</v>
      </c>
      <c r="G14" s="101">
        <v>4</v>
      </c>
      <c r="H14" s="101">
        <v>3</v>
      </c>
      <c r="I14" s="101">
        <v>3</v>
      </c>
      <c r="J14" s="101">
        <f t="shared" si="1"/>
        <v>10</v>
      </c>
      <c r="K14" s="101" t="str">
        <f t="shared" si="2"/>
        <v>High</v>
      </c>
      <c r="L14" s="101" t="str">
        <f t="shared" si="0"/>
        <v>Confidential</v>
      </c>
      <c r="M14" s="101" t="s">
        <v>241</v>
      </c>
    </row>
    <row r="15" spans="1:13" ht="27" customHeight="1" x14ac:dyDescent="0.2">
      <c r="A15" s="209"/>
      <c r="B15" s="101" t="s">
        <v>295</v>
      </c>
      <c r="C15" s="103" t="s">
        <v>468</v>
      </c>
      <c r="D15" s="101" t="s">
        <v>241</v>
      </c>
      <c r="E15" s="103" t="s">
        <v>324</v>
      </c>
      <c r="F15" s="101" t="s">
        <v>240</v>
      </c>
      <c r="G15" s="101">
        <v>4</v>
      </c>
      <c r="H15" s="101">
        <v>3</v>
      </c>
      <c r="I15" s="101">
        <v>3</v>
      </c>
      <c r="J15" s="101">
        <f t="shared" si="1"/>
        <v>10</v>
      </c>
      <c r="K15" s="101" t="str">
        <f t="shared" si="2"/>
        <v>High</v>
      </c>
      <c r="L15" s="101" t="str">
        <f t="shared" si="0"/>
        <v>Confidential</v>
      </c>
      <c r="M15" s="101" t="s">
        <v>241</v>
      </c>
    </row>
    <row r="16" spans="1:13" ht="13.5" customHeight="1" x14ac:dyDescent="0.2">
      <c r="A16" s="209"/>
      <c r="B16" s="101" t="s">
        <v>295</v>
      </c>
      <c r="C16" s="103" t="s">
        <v>469</v>
      </c>
      <c r="D16" s="101">
        <v>1</v>
      </c>
      <c r="E16" s="103" t="s">
        <v>324</v>
      </c>
      <c r="F16" s="101" t="s">
        <v>240</v>
      </c>
      <c r="G16" s="101">
        <v>4</v>
      </c>
      <c r="H16" s="101">
        <v>3</v>
      </c>
      <c r="I16" s="101">
        <v>3</v>
      </c>
      <c r="J16" s="101">
        <f t="shared" si="1"/>
        <v>10</v>
      </c>
      <c r="K16" s="101" t="str">
        <f t="shared" si="2"/>
        <v>High</v>
      </c>
      <c r="L16" s="101" t="str">
        <f t="shared" si="0"/>
        <v>Confidential</v>
      </c>
      <c r="M16" s="101" t="s">
        <v>241</v>
      </c>
    </row>
    <row r="17" spans="1:13" ht="13.5" customHeight="1" x14ac:dyDescent="0.2">
      <c r="A17" s="209"/>
      <c r="B17" s="101" t="s">
        <v>295</v>
      </c>
      <c r="C17" s="103" t="s">
        <v>470</v>
      </c>
      <c r="D17" s="101">
        <v>1</v>
      </c>
      <c r="E17" s="103" t="s">
        <v>324</v>
      </c>
      <c r="F17" s="101" t="s">
        <v>240</v>
      </c>
      <c r="G17" s="101">
        <v>4</v>
      </c>
      <c r="H17" s="101">
        <v>3</v>
      </c>
      <c r="I17" s="101">
        <v>3</v>
      </c>
      <c r="J17" s="101">
        <f t="shared" ref="J17:J70" si="3">(G17+H17+I17)</f>
        <v>10</v>
      </c>
      <c r="K17" s="101" t="str">
        <f t="shared" ref="K17:K70" si="4">IF(J17&lt;=4,"Low",IF(AND(J17&gt;4,J17&lt;=8),"Medium",IF(AND(J17&gt;8,J17&lt;=11),"High",IF(AND(J17&gt;11,J17&lt;=15),"Critical","Error"))))</f>
        <v>High</v>
      </c>
      <c r="L17" s="101" t="str">
        <f t="shared" ref="L17:L70" si="5">IF(G17&lt;=1,"Public",IF(AND(G17&gt;1,G17&lt;=3),"Internal",IF(AND(G17&gt;3,G17&lt;=5),"Confidential","Error")))</f>
        <v>Confidential</v>
      </c>
      <c r="M17" s="101" t="s">
        <v>241</v>
      </c>
    </row>
    <row r="18" spans="1:13" ht="30" x14ac:dyDescent="0.2">
      <c r="A18" s="209"/>
      <c r="B18" s="101" t="s">
        <v>295</v>
      </c>
      <c r="C18" s="103" t="s">
        <v>471</v>
      </c>
      <c r="D18" s="101">
        <v>1</v>
      </c>
      <c r="E18" s="103" t="s">
        <v>324</v>
      </c>
      <c r="F18" s="101" t="s">
        <v>240</v>
      </c>
      <c r="G18" s="101">
        <v>4</v>
      </c>
      <c r="H18" s="101">
        <v>3</v>
      </c>
      <c r="I18" s="101">
        <v>3</v>
      </c>
      <c r="J18" s="101">
        <f t="shared" si="3"/>
        <v>10</v>
      </c>
      <c r="K18" s="101" t="str">
        <f t="shared" si="4"/>
        <v>High</v>
      </c>
      <c r="L18" s="101" t="str">
        <f t="shared" si="5"/>
        <v>Confidential</v>
      </c>
      <c r="M18" s="101" t="s">
        <v>241</v>
      </c>
    </row>
    <row r="19" spans="1:13" ht="13.5" customHeight="1" x14ac:dyDescent="0.2">
      <c r="A19" s="209"/>
      <c r="B19" s="101" t="s">
        <v>295</v>
      </c>
      <c r="C19" s="103" t="s">
        <v>472</v>
      </c>
      <c r="D19" s="101">
        <v>1</v>
      </c>
      <c r="E19" s="103" t="s">
        <v>324</v>
      </c>
      <c r="F19" s="101" t="s">
        <v>240</v>
      </c>
      <c r="G19" s="101">
        <v>4</v>
      </c>
      <c r="H19" s="101">
        <v>3</v>
      </c>
      <c r="I19" s="101">
        <v>3</v>
      </c>
      <c r="J19" s="101">
        <f t="shared" si="3"/>
        <v>10</v>
      </c>
      <c r="K19" s="101" t="str">
        <f t="shared" si="4"/>
        <v>High</v>
      </c>
      <c r="L19" s="101" t="str">
        <f t="shared" si="5"/>
        <v>Confidential</v>
      </c>
      <c r="M19" s="101" t="s">
        <v>241</v>
      </c>
    </row>
    <row r="20" spans="1:13" ht="30" x14ac:dyDescent="0.2">
      <c r="A20" s="209"/>
      <c r="B20" s="101" t="s">
        <v>295</v>
      </c>
      <c r="C20" s="103" t="s">
        <v>473</v>
      </c>
      <c r="D20" s="101">
        <v>1</v>
      </c>
      <c r="E20" s="103" t="s">
        <v>324</v>
      </c>
      <c r="F20" s="101" t="s">
        <v>240</v>
      </c>
      <c r="G20" s="101">
        <v>4</v>
      </c>
      <c r="H20" s="101">
        <v>3</v>
      </c>
      <c r="I20" s="101">
        <v>3</v>
      </c>
      <c r="J20" s="101">
        <f t="shared" si="3"/>
        <v>10</v>
      </c>
      <c r="K20" s="101" t="str">
        <f t="shared" si="4"/>
        <v>High</v>
      </c>
      <c r="L20" s="101" t="str">
        <f t="shared" si="5"/>
        <v>Confidential</v>
      </c>
      <c r="M20" s="101" t="s">
        <v>241</v>
      </c>
    </row>
    <row r="21" spans="1:13" ht="30" x14ac:dyDescent="0.2">
      <c r="A21" s="209"/>
      <c r="B21" s="101" t="s">
        <v>295</v>
      </c>
      <c r="C21" s="103" t="s">
        <v>474</v>
      </c>
      <c r="D21" s="101">
        <v>1</v>
      </c>
      <c r="E21" s="103" t="s">
        <v>324</v>
      </c>
      <c r="F21" s="101" t="s">
        <v>240</v>
      </c>
      <c r="G21" s="101">
        <v>4</v>
      </c>
      <c r="H21" s="101">
        <v>3</v>
      </c>
      <c r="I21" s="101">
        <v>3</v>
      </c>
      <c r="J21" s="101">
        <f t="shared" si="3"/>
        <v>10</v>
      </c>
      <c r="K21" s="101" t="str">
        <f t="shared" si="4"/>
        <v>High</v>
      </c>
      <c r="L21" s="101" t="str">
        <f t="shared" si="5"/>
        <v>Confidential</v>
      </c>
      <c r="M21" s="101" t="s">
        <v>241</v>
      </c>
    </row>
    <row r="22" spans="1:13" ht="30" x14ac:dyDescent="0.2">
      <c r="A22" s="209"/>
      <c r="B22" s="101" t="s">
        <v>295</v>
      </c>
      <c r="C22" s="103" t="s">
        <v>475</v>
      </c>
      <c r="D22" s="101">
        <v>1</v>
      </c>
      <c r="E22" s="103" t="s">
        <v>324</v>
      </c>
      <c r="F22" s="101" t="s">
        <v>240</v>
      </c>
      <c r="G22" s="101">
        <v>2</v>
      </c>
      <c r="H22" s="101">
        <v>4</v>
      </c>
      <c r="I22" s="101">
        <v>4</v>
      </c>
      <c r="J22" s="101">
        <f t="shared" si="3"/>
        <v>10</v>
      </c>
      <c r="K22" s="101" t="str">
        <f t="shared" si="4"/>
        <v>High</v>
      </c>
      <c r="L22" s="101" t="str">
        <f t="shared" si="5"/>
        <v>Internal</v>
      </c>
      <c r="M22" s="101" t="s">
        <v>241</v>
      </c>
    </row>
    <row r="23" spans="1:13" ht="30" x14ac:dyDescent="0.2">
      <c r="A23" s="209"/>
      <c r="B23" s="101" t="s">
        <v>295</v>
      </c>
      <c r="C23" s="103" t="s">
        <v>476</v>
      </c>
      <c r="D23" s="101">
        <v>1</v>
      </c>
      <c r="E23" s="103" t="s">
        <v>324</v>
      </c>
      <c r="F23" s="101" t="s">
        <v>240</v>
      </c>
      <c r="G23" s="101">
        <v>2</v>
      </c>
      <c r="H23" s="101">
        <v>4</v>
      </c>
      <c r="I23" s="101">
        <v>4</v>
      </c>
      <c r="J23" s="101">
        <f t="shared" si="3"/>
        <v>10</v>
      </c>
      <c r="K23" s="101" t="str">
        <f t="shared" si="4"/>
        <v>High</v>
      </c>
      <c r="L23" s="101" t="str">
        <f t="shared" si="5"/>
        <v>Internal</v>
      </c>
      <c r="M23" s="101" t="s">
        <v>241</v>
      </c>
    </row>
    <row r="24" spans="1:13" ht="30" x14ac:dyDescent="0.2">
      <c r="A24" s="209"/>
      <c r="B24" s="101" t="s">
        <v>295</v>
      </c>
      <c r="C24" s="103" t="s">
        <v>477</v>
      </c>
      <c r="D24" s="101">
        <v>1</v>
      </c>
      <c r="E24" s="103" t="s">
        <v>324</v>
      </c>
      <c r="F24" s="101" t="s">
        <v>240</v>
      </c>
      <c r="G24" s="101">
        <v>2</v>
      </c>
      <c r="H24" s="101">
        <v>4</v>
      </c>
      <c r="I24" s="101">
        <v>4</v>
      </c>
      <c r="J24" s="101">
        <f t="shared" si="3"/>
        <v>10</v>
      </c>
      <c r="K24" s="101" t="str">
        <f t="shared" si="4"/>
        <v>High</v>
      </c>
      <c r="L24" s="101" t="str">
        <f t="shared" si="5"/>
        <v>Internal</v>
      </c>
      <c r="M24" s="101" t="s">
        <v>241</v>
      </c>
    </row>
    <row r="25" spans="1:13" ht="30" x14ac:dyDescent="0.2">
      <c r="A25" s="209"/>
      <c r="B25" s="101" t="s">
        <v>295</v>
      </c>
      <c r="C25" s="84" t="s">
        <v>478</v>
      </c>
      <c r="D25" s="101">
        <v>1</v>
      </c>
      <c r="E25" s="103" t="s">
        <v>324</v>
      </c>
      <c r="F25" s="101" t="s">
        <v>240</v>
      </c>
      <c r="G25" s="101">
        <v>2</v>
      </c>
      <c r="H25" s="101">
        <v>4</v>
      </c>
      <c r="I25" s="101">
        <v>4</v>
      </c>
      <c r="J25" s="101">
        <f t="shared" si="3"/>
        <v>10</v>
      </c>
      <c r="K25" s="101" t="str">
        <f t="shared" si="4"/>
        <v>High</v>
      </c>
      <c r="L25" s="101" t="str">
        <f t="shared" si="5"/>
        <v>Internal</v>
      </c>
      <c r="M25" s="101" t="s">
        <v>241</v>
      </c>
    </row>
    <row r="26" spans="1:13" ht="13.5" customHeight="1" x14ac:dyDescent="0.2">
      <c r="A26" s="209"/>
      <c r="B26" s="101" t="s">
        <v>295</v>
      </c>
      <c r="C26" s="103" t="s">
        <v>479</v>
      </c>
      <c r="D26" s="101">
        <v>1</v>
      </c>
      <c r="E26" s="103" t="s">
        <v>324</v>
      </c>
      <c r="F26" s="101" t="s">
        <v>240</v>
      </c>
      <c r="G26" s="101">
        <v>2</v>
      </c>
      <c r="H26" s="101">
        <v>4</v>
      </c>
      <c r="I26" s="101">
        <v>4</v>
      </c>
      <c r="J26" s="101">
        <f t="shared" si="3"/>
        <v>10</v>
      </c>
      <c r="K26" s="101" t="str">
        <f t="shared" si="4"/>
        <v>High</v>
      </c>
      <c r="L26" s="101" t="str">
        <f t="shared" si="5"/>
        <v>Internal</v>
      </c>
      <c r="M26" s="101" t="s">
        <v>241</v>
      </c>
    </row>
    <row r="27" spans="1:13" ht="30" x14ac:dyDescent="0.2">
      <c r="A27" s="209"/>
      <c r="B27" s="101" t="s">
        <v>295</v>
      </c>
      <c r="C27" s="103" t="s">
        <v>480</v>
      </c>
      <c r="D27" s="101">
        <v>1</v>
      </c>
      <c r="E27" s="103" t="s">
        <v>324</v>
      </c>
      <c r="F27" s="101" t="s">
        <v>240</v>
      </c>
      <c r="G27" s="101">
        <v>3</v>
      </c>
      <c r="H27" s="101">
        <v>5</v>
      </c>
      <c r="I27" s="101">
        <v>5</v>
      </c>
      <c r="J27" s="101">
        <f t="shared" si="3"/>
        <v>13</v>
      </c>
      <c r="K27" s="101" t="str">
        <f t="shared" si="4"/>
        <v>Critical</v>
      </c>
      <c r="L27" s="101" t="str">
        <f t="shared" si="5"/>
        <v>Internal</v>
      </c>
      <c r="M27" s="101" t="s">
        <v>241</v>
      </c>
    </row>
    <row r="28" spans="1:13" ht="30" x14ac:dyDescent="0.2">
      <c r="A28" s="209"/>
      <c r="B28" s="101" t="s">
        <v>295</v>
      </c>
      <c r="C28" s="103" t="s">
        <v>481</v>
      </c>
      <c r="D28" s="101">
        <v>1</v>
      </c>
      <c r="E28" s="103" t="s">
        <v>324</v>
      </c>
      <c r="F28" s="101" t="s">
        <v>240</v>
      </c>
      <c r="G28" s="101">
        <v>3</v>
      </c>
      <c r="H28" s="101">
        <v>5</v>
      </c>
      <c r="I28" s="101">
        <v>5</v>
      </c>
      <c r="J28" s="101">
        <f t="shared" si="3"/>
        <v>13</v>
      </c>
      <c r="K28" s="101" t="str">
        <f t="shared" si="4"/>
        <v>Critical</v>
      </c>
      <c r="L28" s="101" t="str">
        <f t="shared" si="5"/>
        <v>Internal</v>
      </c>
      <c r="M28" s="101" t="s">
        <v>241</v>
      </c>
    </row>
    <row r="29" spans="1:13" ht="30" x14ac:dyDescent="0.2">
      <c r="A29" s="209"/>
      <c r="B29" s="101" t="s">
        <v>295</v>
      </c>
      <c r="C29" s="103" t="s">
        <v>482</v>
      </c>
      <c r="D29" s="101">
        <v>1</v>
      </c>
      <c r="E29" s="103" t="s">
        <v>324</v>
      </c>
      <c r="F29" s="101" t="s">
        <v>240</v>
      </c>
      <c r="G29" s="101">
        <v>3</v>
      </c>
      <c r="H29" s="101">
        <v>5</v>
      </c>
      <c r="I29" s="101">
        <v>5</v>
      </c>
      <c r="J29" s="101">
        <f t="shared" si="3"/>
        <v>13</v>
      </c>
      <c r="K29" s="101" t="str">
        <f t="shared" si="4"/>
        <v>Critical</v>
      </c>
      <c r="L29" s="101" t="str">
        <f t="shared" si="5"/>
        <v>Internal</v>
      </c>
      <c r="M29" s="101" t="s">
        <v>241</v>
      </c>
    </row>
    <row r="30" spans="1:13" ht="30" x14ac:dyDescent="0.2">
      <c r="A30" s="209"/>
      <c r="B30" s="101" t="s">
        <v>295</v>
      </c>
      <c r="C30" s="103" t="s">
        <v>483</v>
      </c>
      <c r="D30" s="101">
        <v>1</v>
      </c>
      <c r="E30" s="103" t="s">
        <v>324</v>
      </c>
      <c r="F30" s="101" t="s">
        <v>240</v>
      </c>
      <c r="G30" s="101">
        <v>2</v>
      </c>
      <c r="H30" s="101">
        <v>4</v>
      </c>
      <c r="I30" s="101">
        <v>4</v>
      </c>
      <c r="J30" s="101">
        <f t="shared" si="3"/>
        <v>10</v>
      </c>
      <c r="K30" s="101" t="str">
        <f t="shared" si="4"/>
        <v>High</v>
      </c>
      <c r="L30" s="101" t="str">
        <f t="shared" si="5"/>
        <v>Internal</v>
      </c>
      <c r="M30" s="101" t="s">
        <v>241</v>
      </c>
    </row>
    <row r="31" spans="1:13" ht="30" x14ac:dyDescent="0.2">
      <c r="A31" s="209"/>
      <c r="B31" s="101" t="s">
        <v>295</v>
      </c>
      <c r="C31" s="103" t="s">
        <v>484</v>
      </c>
      <c r="D31" s="101">
        <v>1</v>
      </c>
      <c r="E31" s="103" t="s">
        <v>324</v>
      </c>
      <c r="F31" s="101" t="s">
        <v>240</v>
      </c>
      <c r="G31" s="101">
        <v>4</v>
      </c>
      <c r="H31" s="101">
        <v>4</v>
      </c>
      <c r="I31" s="101">
        <v>3</v>
      </c>
      <c r="J31" s="101">
        <f t="shared" si="3"/>
        <v>11</v>
      </c>
      <c r="K31" s="101" t="str">
        <f t="shared" si="4"/>
        <v>High</v>
      </c>
      <c r="L31" s="101" t="str">
        <f t="shared" si="5"/>
        <v>Confidential</v>
      </c>
      <c r="M31" s="101" t="s">
        <v>241</v>
      </c>
    </row>
    <row r="32" spans="1:13" ht="30" x14ac:dyDescent="0.2">
      <c r="A32" s="209"/>
      <c r="B32" s="101" t="s">
        <v>295</v>
      </c>
      <c r="C32" s="103" t="s">
        <v>485</v>
      </c>
      <c r="D32" s="101">
        <v>1</v>
      </c>
      <c r="E32" s="103" t="s">
        <v>324</v>
      </c>
      <c r="F32" s="101" t="s">
        <v>240</v>
      </c>
      <c r="G32" s="101">
        <v>3</v>
      </c>
      <c r="H32" s="101">
        <v>5</v>
      </c>
      <c r="I32" s="101">
        <v>5</v>
      </c>
      <c r="J32" s="101">
        <f t="shared" si="3"/>
        <v>13</v>
      </c>
      <c r="K32" s="101" t="str">
        <f t="shared" si="4"/>
        <v>Critical</v>
      </c>
      <c r="L32" s="101" t="str">
        <f t="shared" si="5"/>
        <v>Internal</v>
      </c>
      <c r="M32" s="101" t="s">
        <v>241</v>
      </c>
    </row>
    <row r="33" spans="1:13" ht="30" x14ac:dyDescent="0.2">
      <c r="A33" s="209"/>
      <c r="B33" s="101" t="s">
        <v>295</v>
      </c>
      <c r="C33" s="103" t="s">
        <v>486</v>
      </c>
      <c r="D33" s="101">
        <v>1</v>
      </c>
      <c r="E33" s="103" t="s">
        <v>324</v>
      </c>
      <c r="F33" s="101" t="s">
        <v>240</v>
      </c>
      <c r="G33" s="101">
        <v>2</v>
      </c>
      <c r="H33" s="101">
        <v>3</v>
      </c>
      <c r="I33" s="101">
        <v>4</v>
      </c>
      <c r="J33" s="101">
        <f t="shared" si="3"/>
        <v>9</v>
      </c>
      <c r="K33" s="101" t="str">
        <f t="shared" si="4"/>
        <v>High</v>
      </c>
      <c r="L33" s="101" t="str">
        <f t="shared" si="5"/>
        <v>Internal</v>
      </c>
      <c r="M33" s="101" t="s">
        <v>241</v>
      </c>
    </row>
    <row r="34" spans="1:13" ht="30" x14ac:dyDescent="0.2">
      <c r="A34" s="209"/>
      <c r="B34" s="101" t="s">
        <v>295</v>
      </c>
      <c r="C34" s="103" t="s">
        <v>487</v>
      </c>
      <c r="D34" s="101">
        <v>1</v>
      </c>
      <c r="E34" s="103" t="s">
        <v>324</v>
      </c>
      <c r="F34" s="101" t="s">
        <v>240</v>
      </c>
      <c r="G34" s="101">
        <v>2</v>
      </c>
      <c r="H34" s="101">
        <v>3</v>
      </c>
      <c r="I34" s="101">
        <v>3</v>
      </c>
      <c r="J34" s="101">
        <f t="shared" si="3"/>
        <v>8</v>
      </c>
      <c r="K34" s="101" t="str">
        <f t="shared" si="4"/>
        <v>Medium</v>
      </c>
      <c r="L34" s="101" t="str">
        <f t="shared" si="5"/>
        <v>Internal</v>
      </c>
      <c r="M34" s="101" t="s">
        <v>241</v>
      </c>
    </row>
    <row r="35" spans="1:13" ht="30" x14ac:dyDescent="0.2">
      <c r="A35" s="209"/>
      <c r="B35" s="101" t="s">
        <v>295</v>
      </c>
      <c r="C35" s="103" t="s">
        <v>488</v>
      </c>
      <c r="D35" s="101">
        <v>1</v>
      </c>
      <c r="E35" s="103" t="s">
        <v>324</v>
      </c>
      <c r="F35" s="101" t="s">
        <v>240</v>
      </c>
      <c r="G35" s="101">
        <v>3</v>
      </c>
      <c r="H35" s="101">
        <v>5</v>
      </c>
      <c r="I35" s="101">
        <v>5</v>
      </c>
      <c r="J35" s="101">
        <f t="shared" si="3"/>
        <v>13</v>
      </c>
      <c r="K35" s="101" t="str">
        <f t="shared" si="4"/>
        <v>Critical</v>
      </c>
      <c r="L35" s="101" t="str">
        <f t="shared" si="5"/>
        <v>Internal</v>
      </c>
      <c r="M35" s="101" t="s">
        <v>241</v>
      </c>
    </row>
    <row r="36" spans="1:13" ht="30" x14ac:dyDescent="0.2">
      <c r="A36" s="209"/>
      <c r="B36" s="101" t="s">
        <v>295</v>
      </c>
      <c r="C36" s="103" t="s">
        <v>489</v>
      </c>
      <c r="D36" s="101">
        <v>1</v>
      </c>
      <c r="E36" s="103" t="s">
        <v>324</v>
      </c>
      <c r="F36" s="101" t="s">
        <v>240</v>
      </c>
      <c r="G36" s="101">
        <v>2</v>
      </c>
      <c r="H36" s="101">
        <v>3</v>
      </c>
      <c r="I36" s="101">
        <v>3</v>
      </c>
      <c r="J36" s="101">
        <f t="shared" si="3"/>
        <v>8</v>
      </c>
      <c r="K36" s="101" t="str">
        <f t="shared" si="4"/>
        <v>Medium</v>
      </c>
      <c r="L36" s="101" t="str">
        <f t="shared" si="5"/>
        <v>Internal</v>
      </c>
      <c r="M36" s="101" t="s">
        <v>241</v>
      </c>
    </row>
    <row r="37" spans="1:13" ht="30" x14ac:dyDescent="0.2">
      <c r="A37" s="209"/>
      <c r="B37" s="101" t="s">
        <v>295</v>
      </c>
      <c r="C37" s="103" t="s">
        <v>455</v>
      </c>
      <c r="D37" s="101">
        <v>1</v>
      </c>
      <c r="E37" s="103" t="s">
        <v>324</v>
      </c>
      <c r="F37" s="101" t="s">
        <v>240</v>
      </c>
      <c r="G37" s="101">
        <v>2</v>
      </c>
      <c r="H37" s="101">
        <v>5</v>
      </c>
      <c r="I37" s="101">
        <v>5</v>
      </c>
      <c r="J37" s="101">
        <f t="shared" si="3"/>
        <v>12</v>
      </c>
      <c r="K37" s="101" t="str">
        <f t="shared" si="4"/>
        <v>Critical</v>
      </c>
      <c r="L37" s="101" t="str">
        <f t="shared" si="5"/>
        <v>Internal</v>
      </c>
      <c r="M37" s="101" t="s">
        <v>241</v>
      </c>
    </row>
    <row r="38" spans="1:13" ht="30" x14ac:dyDescent="0.2">
      <c r="A38" s="209"/>
      <c r="B38" s="101" t="s">
        <v>295</v>
      </c>
      <c r="C38" s="103" t="s">
        <v>456</v>
      </c>
      <c r="D38" s="101">
        <v>1</v>
      </c>
      <c r="E38" s="103" t="s">
        <v>324</v>
      </c>
      <c r="F38" s="101" t="s">
        <v>240</v>
      </c>
      <c r="G38" s="101">
        <v>2</v>
      </c>
      <c r="H38" s="101">
        <v>5</v>
      </c>
      <c r="I38" s="101">
        <v>5</v>
      </c>
      <c r="J38" s="101">
        <f t="shared" si="3"/>
        <v>12</v>
      </c>
      <c r="K38" s="101" t="str">
        <f t="shared" si="4"/>
        <v>Critical</v>
      </c>
      <c r="L38" s="101" t="str">
        <f t="shared" si="5"/>
        <v>Internal</v>
      </c>
      <c r="M38" s="101" t="s">
        <v>241</v>
      </c>
    </row>
    <row r="39" spans="1:13" ht="30" x14ac:dyDescent="0.2">
      <c r="A39" s="209"/>
      <c r="B39" s="101" t="s">
        <v>295</v>
      </c>
      <c r="C39" s="103" t="s">
        <v>457</v>
      </c>
      <c r="D39" s="101">
        <v>1</v>
      </c>
      <c r="E39" s="103" t="s">
        <v>324</v>
      </c>
      <c r="F39" s="101" t="s">
        <v>240</v>
      </c>
      <c r="G39" s="101">
        <v>2</v>
      </c>
      <c r="H39" s="101">
        <v>5</v>
      </c>
      <c r="I39" s="101">
        <v>5</v>
      </c>
      <c r="J39" s="101">
        <f t="shared" si="3"/>
        <v>12</v>
      </c>
      <c r="K39" s="101" t="str">
        <f t="shared" si="4"/>
        <v>Critical</v>
      </c>
      <c r="L39" s="101" t="str">
        <f t="shared" si="5"/>
        <v>Internal</v>
      </c>
      <c r="M39" s="101" t="s">
        <v>241</v>
      </c>
    </row>
    <row r="40" spans="1:13" ht="30" x14ac:dyDescent="0.2">
      <c r="A40" s="209"/>
      <c r="B40" s="101" t="s">
        <v>295</v>
      </c>
      <c r="C40" s="103" t="s">
        <v>458</v>
      </c>
      <c r="D40" s="101">
        <v>1</v>
      </c>
      <c r="E40" s="103" t="s">
        <v>324</v>
      </c>
      <c r="F40" s="101" t="s">
        <v>240</v>
      </c>
      <c r="G40" s="101">
        <v>2</v>
      </c>
      <c r="H40" s="101">
        <v>4</v>
      </c>
      <c r="I40" s="101">
        <v>4</v>
      </c>
      <c r="J40" s="101">
        <f t="shared" si="3"/>
        <v>10</v>
      </c>
      <c r="K40" s="101" t="str">
        <f t="shared" si="4"/>
        <v>High</v>
      </c>
      <c r="L40" s="101" t="str">
        <f t="shared" si="5"/>
        <v>Internal</v>
      </c>
      <c r="M40" s="101" t="s">
        <v>241</v>
      </c>
    </row>
    <row r="41" spans="1:13" ht="30" x14ac:dyDescent="0.2">
      <c r="A41" s="209"/>
      <c r="B41" s="101" t="s">
        <v>295</v>
      </c>
      <c r="C41" s="103" t="s">
        <v>459</v>
      </c>
      <c r="D41" s="101">
        <v>1</v>
      </c>
      <c r="E41" s="103" t="s">
        <v>324</v>
      </c>
      <c r="F41" s="101" t="s">
        <v>240</v>
      </c>
      <c r="G41" s="101">
        <v>2</v>
      </c>
      <c r="H41" s="101">
        <v>4</v>
      </c>
      <c r="I41" s="101">
        <v>4</v>
      </c>
      <c r="J41" s="101">
        <f t="shared" si="3"/>
        <v>10</v>
      </c>
      <c r="K41" s="101" t="str">
        <f t="shared" si="4"/>
        <v>High</v>
      </c>
      <c r="L41" s="101" t="str">
        <f t="shared" si="5"/>
        <v>Internal</v>
      </c>
      <c r="M41" s="101" t="s">
        <v>241</v>
      </c>
    </row>
    <row r="42" spans="1:13" ht="30" x14ac:dyDescent="0.2">
      <c r="A42" s="209"/>
      <c r="B42" s="101" t="s">
        <v>295</v>
      </c>
      <c r="C42" s="103" t="s">
        <v>460</v>
      </c>
      <c r="D42" s="101">
        <v>1</v>
      </c>
      <c r="E42" s="103" t="s">
        <v>324</v>
      </c>
      <c r="F42" s="101" t="s">
        <v>240</v>
      </c>
      <c r="G42" s="101">
        <v>2</v>
      </c>
      <c r="H42" s="101">
        <v>4</v>
      </c>
      <c r="I42" s="101">
        <v>4</v>
      </c>
      <c r="J42" s="101">
        <f t="shared" si="3"/>
        <v>10</v>
      </c>
      <c r="K42" s="101" t="str">
        <f t="shared" si="4"/>
        <v>High</v>
      </c>
      <c r="L42" s="101" t="str">
        <f t="shared" si="5"/>
        <v>Internal</v>
      </c>
      <c r="M42" s="101" t="s">
        <v>241</v>
      </c>
    </row>
    <row r="43" spans="1:13" ht="30" x14ac:dyDescent="0.2">
      <c r="A43" s="209"/>
      <c r="B43" s="101" t="s">
        <v>295</v>
      </c>
      <c r="C43" s="103" t="s">
        <v>461</v>
      </c>
      <c r="D43" s="101">
        <v>1</v>
      </c>
      <c r="E43" s="103" t="s">
        <v>324</v>
      </c>
      <c r="F43" s="101" t="s">
        <v>240</v>
      </c>
      <c r="G43" s="101">
        <v>2</v>
      </c>
      <c r="H43" s="101">
        <v>4</v>
      </c>
      <c r="I43" s="101">
        <v>4</v>
      </c>
      <c r="J43" s="101">
        <f t="shared" si="3"/>
        <v>10</v>
      </c>
      <c r="K43" s="101" t="str">
        <f t="shared" si="4"/>
        <v>High</v>
      </c>
      <c r="L43" s="101" t="str">
        <f t="shared" si="5"/>
        <v>Internal</v>
      </c>
      <c r="M43" s="101" t="s">
        <v>241</v>
      </c>
    </row>
    <row r="44" spans="1:13" ht="30" x14ac:dyDescent="0.2">
      <c r="A44" s="209"/>
      <c r="B44" s="101" t="s">
        <v>295</v>
      </c>
      <c r="C44" s="103" t="s">
        <v>462</v>
      </c>
      <c r="D44" s="101">
        <v>1</v>
      </c>
      <c r="E44" s="103" t="s">
        <v>324</v>
      </c>
      <c r="F44" s="101" t="s">
        <v>240</v>
      </c>
      <c r="G44" s="101">
        <v>2</v>
      </c>
      <c r="H44" s="101">
        <v>3</v>
      </c>
      <c r="I44" s="101">
        <v>3</v>
      </c>
      <c r="J44" s="101">
        <f t="shared" si="3"/>
        <v>8</v>
      </c>
      <c r="K44" s="101" t="str">
        <f t="shared" si="4"/>
        <v>Medium</v>
      </c>
      <c r="L44" s="101" t="str">
        <f t="shared" si="5"/>
        <v>Internal</v>
      </c>
      <c r="M44" s="101" t="s">
        <v>241</v>
      </c>
    </row>
    <row r="45" spans="1:13" ht="30" x14ac:dyDescent="0.2">
      <c r="A45" s="209"/>
      <c r="B45" s="101" t="s">
        <v>295</v>
      </c>
      <c r="C45" s="103" t="s">
        <v>463</v>
      </c>
      <c r="D45" s="101">
        <v>1</v>
      </c>
      <c r="E45" s="103" t="s">
        <v>324</v>
      </c>
      <c r="F45" s="101" t="s">
        <v>240</v>
      </c>
      <c r="G45" s="101">
        <v>2</v>
      </c>
      <c r="H45" s="101">
        <v>4</v>
      </c>
      <c r="I45" s="101">
        <v>4</v>
      </c>
      <c r="J45" s="101">
        <f t="shared" si="3"/>
        <v>10</v>
      </c>
      <c r="K45" s="101" t="str">
        <f t="shared" si="4"/>
        <v>High</v>
      </c>
      <c r="L45" s="101" t="str">
        <f t="shared" si="5"/>
        <v>Internal</v>
      </c>
      <c r="M45" s="101" t="s">
        <v>241</v>
      </c>
    </row>
    <row r="46" spans="1:13" ht="30" x14ac:dyDescent="0.2">
      <c r="A46" s="209"/>
      <c r="B46" s="101" t="s">
        <v>295</v>
      </c>
      <c r="C46" s="103" t="s">
        <v>464</v>
      </c>
      <c r="D46" s="101">
        <v>1</v>
      </c>
      <c r="E46" s="103" t="s">
        <v>324</v>
      </c>
      <c r="F46" s="101" t="s">
        <v>240</v>
      </c>
      <c r="G46" s="101">
        <v>2</v>
      </c>
      <c r="H46" s="101">
        <v>4</v>
      </c>
      <c r="I46" s="101">
        <v>4</v>
      </c>
      <c r="J46" s="101">
        <f t="shared" si="3"/>
        <v>10</v>
      </c>
      <c r="K46" s="101" t="str">
        <f t="shared" si="4"/>
        <v>High</v>
      </c>
      <c r="L46" s="101" t="str">
        <f t="shared" si="5"/>
        <v>Internal</v>
      </c>
      <c r="M46" s="101" t="s">
        <v>241</v>
      </c>
    </row>
    <row r="47" spans="1:13" ht="13.5" customHeight="1" x14ac:dyDescent="0.2">
      <c r="A47" s="209"/>
      <c r="B47" s="101" t="s">
        <v>295</v>
      </c>
      <c r="C47" s="103" t="s">
        <v>490</v>
      </c>
      <c r="D47" s="101">
        <v>1</v>
      </c>
      <c r="E47" s="103" t="s">
        <v>324</v>
      </c>
      <c r="F47" s="101" t="s">
        <v>240</v>
      </c>
      <c r="G47" s="101">
        <v>3</v>
      </c>
      <c r="H47" s="101">
        <v>4</v>
      </c>
      <c r="I47" s="101">
        <v>4</v>
      </c>
      <c r="J47" s="101">
        <f t="shared" si="3"/>
        <v>11</v>
      </c>
      <c r="K47" s="101" t="str">
        <f t="shared" si="4"/>
        <v>High</v>
      </c>
      <c r="L47" s="101" t="str">
        <f t="shared" si="5"/>
        <v>Internal</v>
      </c>
      <c r="M47" s="101" t="s">
        <v>241</v>
      </c>
    </row>
    <row r="48" spans="1:13" ht="30" x14ac:dyDescent="0.2">
      <c r="A48" s="209"/>
      <c r="B48" s="101" t="s">
        <v>295</v>
      </c>
      <c r="C48" s="103" t="s">
        <v>491</v>
      </c>
      <c r="D48" s="101">
        <v>1</v>
      </c>
      <c r="E48" s="103" t="s">
        <v>324</v>
      </c>
      <c r="F48" s="101" t="s">
        <v>240</v>
      </c>
      <c r="G48" s="101">
        <v>3</v>
      </c>
      <c r="H48" s="101">
        <v>4</v>
      </c>
      <c r="I48" s="101">
        <v>4</v>
      </c>
      <c r="J48" s="101">
        <f t="shared" si="3"/>
        <v>11</v>
      </c>
      <c r="K48" s="101" t="str">
        <f t="shared" si="4"/>
        <v>High</v>
      </c>
      <c r="L48" s="101" t="str">
        <f t="shared" si="5"/>
        <v>Internal</v>
      </c>
      <c r="M48" s="101" t="s">
        <v>241</v>
      </c>
    </row>
    <row r="49" spans="1:13" ht="30" x14ac:dyDescent="0.2">
      <c r="A49" s="209"/>
      <c r="B49" s="101" t="s">
        <v>295</v>
      </c>
      <c r="C49" s="103" t="s">
        <v>492</v>
      </c>
      <c r="D49" s="101">
        <v>1</v>
      </c>
      <c r="E49" s="103" t="s">
        <v>324</v>
      </c>
      <c r="F49" s="101" t="s">
        <v>240</v>
      </c>
      <c r="G49" s="101">
        <v>3</v>
      </c>
      <c r="H49" s="101">
        <v>3</v>
      </c>
      <c r="I49" s="101">
        <v>4</v>
      </c>
      <c r="J49" s="101">
        <f t="shared" ref="J49" si="6">(G49+H49+I49)</f>
        <v>10</v>
      </c>
      <c r="K49" s="101" t="str">
        <f t="shared" ref="K49" si="7">IF(J49&lt;=4,"Low",IF(AND(J49&gt;4,J49&lt;=8),"Medium",IF(AND(J49&gt;8,J49&lt;=11),"High",IF(AND(J49&gt;11,J49&lt;=15),"Critical","Error"))))</f>
        <v>High</v>
      </c>
      <c r="L49" s="101" t="str">
        <f t="shared" ref="L49" si="8">IF(G49&lt;=1,"Public",IF(AND(G49&gt;1,G49&lt;=3),"Internal",IF(AND(G49&gt;3,G49&lt;=5),"Confidential","Error")))</f>
        <v>Internal</v>
      </c>
      <c r="M49" s="101" t="s">
        <v>241</v>
      </c>
    </row>
    <row r="50" spans="1:13" ht="30" x14ac:dyDescent="0.2">
      <c r="A50" s="209"/>
      <c r="B50" s="101" t="s">
        <v>295</v>
      </c>
      <c r="C50" s="103" t="s">
        <v>493</v>
      </c>
      <c r="D50" s="101">
        <v>1</v>
      </c>
      <c r="E50" s="103" t="s">
        <v>324</v>
      </c>
      <c r="F50" s="101" t="s">
        <v>240</v>
      </c>
      <c r="G50" s="101">
        <v>3</v>
      </c>
      <c r="H50" s="101">
        <v>3</v>
      </c>
      <c r="I50" s="101">
        <v>4</v>
      </c>
      <c r="J50" s="101">
        <f t="shared" ref="J50:J51" si="9">(G50+H50+I50)</f>
        <v>10</v>
      </c>
      <c r="K50" s="101" t="str">
        <f t="shared" ref="K50:K51" si="10">IF(J50&lt;=4,"Low",IF(AND(J50&gt;4,J50&lt;=8),"Medium",IF(AND(J50&gt;8,J50&lt;=11),"High",IF(AND(J50&gt;11,J50&lt;=15),"Critical","Error"))))</f>
        <v>High</v>
      </c>
      <c r="L50" s="101" t="str">
        <f t="shared" ref="L50:L51" si="11">IF(G50&lt;=1,"Public",IF(AND(G50&gt;1,G50&lt;=3),"Internal",IF(AND(G50&gt;3,G50&lt;=5),"Confidential","Error")))</f>
        <v>Internal</v>
      </c>
      <c r="M50" s="101" t="s">
        <v>241</v>
      </c>
    </row>
    <row r="51" spans="1:13" ht="30" x14ac:dyDescent="0.2">
      <c r="A51" s="209"/>
      <c r="B51" s="101" t="s">
        <v>295</v>
      </c>
      <c r="C51" s="103" t="s">
        <v>494</v>
      </c>
      <c r="D51" s="101">
        <v>1</v>
      </c>
      <c r="E51" s="103" t="s">
        <v>324</v>
      </c>
      <c r="F51" s="101" t="s">
        <v>240</v>
      </c>
      <c r="G51" s="101">
        <v>3</v>
      </c>
      <c r="H51" s="101">
        <v>3</v>
      </c>
      <c r="I51" s="101">
        <v>4</v>
      </c>
      <c r="J51" s="101">
        <f t="shared" si="9"/>
        <v>10</v>
      </c>
      <c r="K51" s="101" t="str">
        <f t="shared" si="10"/>
        <v>High</v>
      </c>
      <c r="L51" s="101" t="str">
        <f t="shared" si="11"/>
        <v>Internal</v>
      </c>
      <c r="M51" s="101" t="s">
        <v>241</v>
      </c>
    </row>
    <row r="52" spans="1:13" ht="30" x14ac:dyDescent="0.2">
      <c r="A52" s="209"/>
      <c r="B52" s="101" t="s">
        <v>295</v>
      </c>
      <c r="C52" s="103" t="s">
        <v>495</v>
      </c>
      <c r="D52" s="101">
        <v>1</v>
      </c>
      <c r="E52" s="103" t="s">
        <v>324</v>
      </c>
      <c r="F52" s="101" t="s">
        <v>240</v>
      </c>
      <c r="G52" s="101">
        <v>3</v>
      </c>
      <c r="H52" s="101">
        <v>3</v>
      </c>
      <c r="I52" s="101">
        <v>4</v>
      </c>
      <c r="J52" s="101">
        <f t="shared" si="3"/>
        <v>10</v>
      </c>
      <c r="K52" s="101" t="str">
        <f t="shared" si="4"/>
        <v>High</v>
      </c>
      <c r="L52" s="101" t="str">
        <f t="shared" si="5"/>
        <v>Internal</v>
      </c>
      <c r="M52" s="101" t="s">
        <v>241</v>
      </c>
    </row>
    <row r="53" spans="1:13" ht="30" x14ac:dyDescent="0.2">
      <c r="A53" s="209"/>
      <c r="B53" s="101" t="s">
        <v>295</v>
      </c>
      <c r="C53" s="103" t="s">
        <v>496</v>
      </c>
      <c r="D53" s="101">
        <v>1</v>
      </c>
      <c r="E53" s="103" t="s">
        <v>324</v>
      </c>
      <c r="F53" s="101" t="s">
        <v>240</v>
      </c>
      <c r="G53" s="101">
        <v>2</v>
      </c>
      <c r="H53" s="101">
        <v>4</v>
      </c>
      <c r="I53" s="101">
        <v>4</v>
      </c>
      <c r="J53" s="101">
        <f t="shared" si="3"/>
        <v>10</v>
      </c>
      <c r="K53" s="101" t="str">
        <f t="shared" si="4"/>
        <v>High</v>
      </c>
      <c r="L53" s="101" t="str">
        <f t="shared" si="5"/>
        <v>Internal</v>
      </c>
      <c r="M53" s="101" t="s">
        <v>241</v>
      </c>
    </row>
    <row r="54" spans="1:13" ht="13.5" customHeight="1" x14ac:dyDescent="0.2">
      <c r="A54" s="209"/>
      <c r="B54" s="101" t="s">
        <v>295</v>
      </c>
      <c r="C54" s="103" t="s">
        <v>465</v>
      </c>
      <c r="D54" s="101">
        <v>1</v>
      </c>
      <c r="E54" s="103" t="s">
        <v>324</v>
      </c>
      <c r="F54" s="101" t="s">
        <v>240</v>
      </c>
      <c r="G54" s="101">
        <v>3</v>
      </c>
      <c r="H54" s="101">
        <v>5</v>
      </c>
      <c r="I54" s="101">
        <v>5</v>
      </c>
      <c r="J54" s="101">
        <f t="shared" si="3"/>
        <v>13</v>
      </c>
      <c r="K54" s="101" t="str">
        <f t="shared" si="4"/>
        <v>Critical</v>
      </c>
      <c r="L54" s="101" t="str">
        <f t="shared" si="5"/>
        <v>Internal</v>
      </c>
      <c r="M54" s="101" t="s">
        <v>241</v>
      </c>
    </row>
    <row r="55" spans="1:13" ht="30" x14ac:dyDescent="0.2">
      <c r="A55" s="209"/>
      <c r="B55" s="101" t="s">
        <v>295</v>
      </c>
      <c r="C55" s="103" t="s">
        <v>497</v>
      </c>
      <c r="D55" s="101">
        <v>1</v>
      </c>
      <c r="E55" s="103" t="s">
        <v>324</v>
      </c>
      <c r="F55" s="101" t="s">
        <v>240</v>
      </c>
      <c r="G55" s="101">
        <v>4</v>
      </c>
      <c r="H55" s="101">
        <v>4</v>
      </c>
      <c r="I55" s="101">
        <v>4</v>
      </c>
      <c r="J55" s="101">
        <f t="shared" si="3"/>
        <v>12</v>
      </c>
      <c r="K55" s="101" t="str">
        <f t="shared" si="4"/>
        <v>Critical</v>
      </c>
      <c r="L55" s="101" t="str">
        <f t="shared" si="5"/>
        <v>Confidential</v>
      </c>
      <c r="M55" s="101" t="s">
        <v>241</v>
      </c>
    </row>
    <row r="56" spans="1:13" ht="30" x14ac:dyDescent="0.2">
      <c r="A56" s="209"/>
      <c r="B56" s="101" t="s">
        <v>295</v>
      </c>
      <c r="C56" s="103" t="s">
        <v>596</v>
      </c>
      <c r="D56" s="101">
        <v>1</v>
      </c>
      <c r="E56" s="103" t="s">
        <v>324</v>
      </c>
      <c r="F56" s="101" t="s">
        <v>240</v>
      </c>
      <c r="G56" s="101">
        <v>2</v>
      </c>
      <c r="H56" s="101">
        <v>4</v>
      </c>
      <c r="I56" s="101">
        <v>4</v>
      </c>
      <c r="J56" s="101">
        <f t="shared" si="3"/>
        <v>10</v>
      </c>
      <c r="K56" s="101" t="str">
        <f t="shared" si="4"/>
        <v>High</v>
      </c>
      <c r="L56" s="101" t="str">
        <f t="shared" si="5"/>
        <v>Internal</v>
      </c>
      <c r="M56" s="101" t="s">
        <v>241</v>
      </c>
    </row>
    <row r="57" spans="1:13" ht="30" x14ac:dyDescent="0.2">
      <c r="A57" s="209"/>
      <c r="B57" s="101" t="s">
        <v>295</v>
      </c>
      <c r="C57" s="103" t="s">
        <v>498</v>
      </c>
      <c r="D57" s="101">
        <v>1</v>
      </c>
      <c r="E57" s="103" t="s">
        <v>324</v>
      </c>
      <c r="F57" s="101" t="s">
        <v>240</v>
      </c>
      <c r="G57" s="101">
        <v>2</v>
      </c>
      <c r="H57" s="101">
        <v>4</v>
      </c>
      <c r="I57" s="101">
        <v>4</v>
      </c>
      <c r="J57" s="101">
        <f t="shared" si="3"/>
        <v>10</v>
      </c>
      <c r="K57" s="101" t="str">
        <f t="shared" si="4"/>
        <v>High</v>
      </c>
      <c r="L57" s="101" t="str">
        <f t="shared" si="5"/>
        <v>Internal</v>
      </c>
      <c r="M57" s="101" t="s">
        <v>241</v>
      </c>
    </row>
    <row r="58" spans="1:13" ht="30" x14ac:dyDescent="0.2">
      <c r="A58" s="209"/>
      <c r="B58" s="101" t="s">
        <v>295</v>
      </c>
      <c r="C58" s="103" t="s">
        <v>499</v>
      </c>
      <c r="D58" s="101">
        <v>1</v>
      </c>
      <c r="E58" s="103" t="s">
        <v>324</v>
      </c>
      <c r="F58" s="101" t="s">
        <v>240</v>
      </c>
      <c r="G58" s="101">
        <v>2</v>
      </c>
      <c r="H58" s="101">
        <v>4</v>
      </c>
      <c r="I58" s="101">
        <v>4</v>
      </c>
      <c r="J58" s="101">
        <f t="shared" si="3"/>
        <v>10</v>
      </c>
      <c r="K58" s="101" t="str">
        <f t="shared" si="4"/>
        <v>High</v>
      </c>
      <c r="L58" s="101" t="str">
        <f t="shared" si="5"/>
        <v>Internal</v>
      </c>
      <c r="M58" s="101" t="s">
        <v>241</v>
      </c>
    </row>
    <row r="59" spans="1:13" ht="13.5" customHeight="1" x14ac:dyDescent="0.2">
      <c r="A59" s="209"/>
      <c r="B59" s="101" t="s">
        <v>295</v>
      </c>
      <c r="C59" s="103" t="s">
        <v>500</v>
      </c>
      <c r="D59" s="101">
        <v>1</v>
      </c>
      <c r="E59" s="103" t="s">
        <v>324</v>
      </c>
      <c r="F59" s="101" t="s">
        <v>240</v>
      </c>
      <c r="G59" s="101">
        <v>2</v>
      </c>
      <c r="H59" s="101">
        <v>4</v>
      </c>
      <c r="I59" s="101">
        <v>4</v>
      </c>
      <c r="J59" s="101">
        <f t="shared" si="3"/>
        <v>10</v>
      </c>
      <c r="K59" s="101" t="str">
        <f t="shared" si="4"/>
        <v>High</v>
      </c>
      <c r="L59" s="101" t="str">
        <f t="shared" si="5"/>
        <v>Internal</v>
      </c>
      <c r="M59" s="101" t="s">
        <v>241</v>
      </c>
    </row>
    <row r="60" spans="1:13" ht="13.5" customHeight="1" x14ac:dyDescent="0.2">
      <c r="A60" s="209"/>
      <c r="B60" s="101" t="s">
        <v>295</v>
      </c>
      <c r="C60" s="103" t="s">
        <v>465</v>
      </c>
      <c r="D60" s="101">
        <v>1</v>
      </c>
      <c r="E60" s="103" t="s">
        <v>324</v>
      </c>
      <c r="F60" s="101" t="s">
        <v>240</v>
      </c>
      <c r="G60" s="101">
        <v>3</v>
      </c>
      <c r="H60" s="101">
        <v>4</v>
      </c>
      <c r="I60" s="101">
        <v>4</v>
      </c>
      <c r="J60" s="101">
        <f t="shared" si="3"/>
        <v>11</v>
      </c>
      <c r="K60" s="101" t="str">
        <f t="shared" si="4"/>
        <v>High</v>
      </c>
      <c r="L60" s="101" t="str">
        <f t="shared" si="5"/>
        <v>Internal</v>
      </c>
      <c r="M60" s="101" t="s">
        <v>241</v>
      </c>
    </row>
    <row r="61" spans="1:13" ht="30" x14ac:dyDescent="0.2">
      <c r="A61" s="209"/>
      <c r="B61" s="101" t="s">
        <v>295</v>
      </c>
      <c r="C61" s="103" t="s">
        <v>501</v>
      </c>
      <c r="D61" s="101">
        <v>1</v>
      </c>
      <c r="E61" s="103" t="s">
        <v>324</v>
      </c>
      <c r="F61" s="101" t="s">
        <v>240</v>
      </c>
      <c r="G61" s="101">
        <v>2</v>
      </c>
      <c r="H61" s="101">
        <v>4</v>
      </c>
      <c r="I61" s="101">
        <v>4</v>
      </c>
      <c r="J61" s="101">
        <f t="shared" si="3"/>
        <v>10</v>
      </c>
      <c r="K61" s="101" t="str">
        <f t="shared" si="4"/>
        <v>High</v>
      </c>
      <c r="L61" s="101" t="str">
        <f t="shared" si="5"/>
        <v>Internal</v>
      </c>
      <c r="M61" s="101" t="s">
        <v>241</v>
      </c>
    </row>
    <row r="62" spans="1:13" ht="30" x14ac:dyDescent="0.2">
      <c r="A62" s="209"/>
      <c r="B62" s="101" t="s">
        <v>295</v>
      </c>
      <c r="C62" s="103" t="s">
        <v>502</v>
      </c>
      <c r="D62" s="101">
        <v>1</v>
      </c>
      <c r="E62" s="103" t="s">
        <v>324</v>
      </c>
      <c r="F62" s="101" t="s">
        <v>240</v>
      </c>
      <c r="G62" s="101">
        <v>2</v>
      </c>
      <c r="H62" s="101">
        <v>4</v>
      </c>
      <c r="I62" s="101">
        <v>4</v>
      </c>
      <c r="J62" s="101">
        <f t="shared" si="3"/>
        <v>10</v>
      </c>
      <c r="K62" s="101" t="str">
        <f t="shared" si="4"/>
        <v>High</v>
      </c>
      <c r="L62" s="101" t="str">
        <f t="shared" si="5"/>
        <v>Internal</v>
      </c>
      <c r="M62" s="101" t="s">
        <v>241</v>
      </c>
    </row>
    <row r="63" spans="1:13" ht="30" x14ac:dyDescent="0.2">
      <c r="A63" s="209"/>
      <c r="B63" s="101" t="s">
        <v>295</v>
      </c>
      <c r="C63" s="103" t="s">
        <v>503</v>
      </c>
      <c r="D63" s="101">
        <v>1</v>
      </c>
      <c r="E63" s="103" t="s">
        <v>324</v>
      </c>
      <c r="F63" s="101" t="s">
        <v>240</v>
      </c>
      <c r="G63" s="101">
        <v>2</v>
      </c>
      <c r="H63" s="101">
        <v>4</v>
      </c>
      <c r="I63" s="101">
        <v>4</v>
      </c>
      <c r="J63" s="101">
        <f t="shared" si="3"/>
        <v>10</v>
      </c>
      <c r="K63" s="101" t="str">
        <f t="shared" si="4"/>
        <v>High</v>
      </c>
      <c r="L63" s="101" t="str">
        <f t="shared" si="5"/>
        <v>Internal</v>
      </c>
      <c r="M63" s="101" t="s">
        <v>241</v>
      </c>
    </row>
    <row r="64" spans="1:13" ht="30" x14ac:dyDescent="0.2">
      <c r="A64" s="209"/>
      <c r="B64" s="101" t="s">
        <v>295</v>
      </c>
      <c r="C64" s="103" t="s">
        <v>504</v>
      </c>
      <c r="D64" s="101">
        <v>1</v>
      </c>
      <c r="E64" s="103" t="s">
        <v>324</v>
      </c>
      <c r="F64" s="101" t="s">
        <v>240</v>
      </c>
      <c r="G64" s="101">
        <v>2</v>
      </c>
      <c r="H64" s="101">
        <v>4</v>
      </c>
      <c r="I64" s="101">
        <v>4</v>
      </c>
      <c r="J64" s="101">
        <f t="shared" si="3"/>
        <v>10</v>
      </c>
      <c r="K64" s="101" t="str">
        <f t="shared" si="4"/>
        <v>High</v>
      </c>
      <c r="L64" s="101" t="str">
        <f t="shared" si="5"/>
        <v>Internal</v>
      </c>
      <c r="M64" s="101" t="s">
        <v>241</v>
      </c>
    </row>
    <row r="65" spans="1:13" ht="13.5" customHeight="1" x14ac:dyDescent="0.2">
      <c r="A65" s="209"/>
      <c r="B65" s="101" t="s">
        <v>295</v>
      </c>
      <c r="C65" s="103" t="s">
        <v>505</v>
      </c>
      <c r="D65" s="101">
        <v>1</v>
      </c>
      <c r="E65" s="103" t="s">
        <v>324</v>
      </c>
      <c r="F65" s="101" t="s">
        <v>240</v>
      </c>
      <c r="G65" s="101">
        <v>2</v>
      </c>
      <c r="H65" s="101">
        <v>3</v>
      </c>
      <c r="I65" s="101">
        <v>3</v>
      </c>
      <c r="J65" s="101">
        <f t="shared" si="3"/>
        <v>8</v>
      </c>
      <c r="K65" s="101" t="str">
        <f t="shared" si="4"/>
        <v>Medium</v>
      </c>
      <c r="L65" s="101" t="str">
        <f t="shared" si="5"/>
        <v>Internal</v>
      </c>
      <c r="M65" s="101" t="s">
        <v>241</v>
      </c>
    </row>
    <row r="66" spans="1:13" ht="30" x14ac:dyDescent="0.2">
      <c r="A66" s="209"/>
      <c r="B66" s="101" t="s">
        <v>295</v>
      </c>
      <c r="C66" s="103" t="s">
        <v>466</v>
      </c>
      <c r="D66" s="101">
        <v>1</v>
      </c>
      <c r="E66" s="103" t="s">
        <v>324</v>
      </c>
      <c r="F66" s="101" t="s">
        <v>240</v>
      </c>
      <c r="G66" s="101">
        <v>2</v>
      </c>
      <c r="H66" s="101">
        <v>3</v>
      </c>
      <c r="I66" s="101">
        <v>3</v>
      </c>
      <c r="J66" s="101">
        <f t="shared" si="3"/>
        <v>8</v>
      </c>
      <c r="K66" s="101" t="str">
        <f t="shared" si="4"/>
        <v>Medium</v>
      </c>
      <c r="L66" s="101" t="str">
        <f t="shared" si="5"/>
        <v>Internal</v>
      </c>
      <c r="M66" s="101" t="s">
        <v>241</v>
      </c>
    </row>
    <row r="67" spans="1:13" ht="13.5" customHeight="1" x14ac:dyDescent="0.2">
      <c r="A67" s="209"/>
      <c r="B67" s="101" t="s">
        <v>295</v>
      </c>
      <c r="C67" s="103" t="s">
        <v>506</v>
      </c>
      <c r="D67" s="101">
        <v>1</v>
      </c>
      <c r="E67" s="103" t="s">
        <v>324</v>
      </c>
      <c r="F67" s="101" t="s">
        <v>240</v>
      </c>
      <c r="G67" s="101">
        <v>2</v>
      </c>
      <c r="H67" s="101">
        <v>3</v>
      </c>
      <c r="I67" s="101">
        <v>3</v>
      </c>
      <c r="J67" s="101">
        <f t="shared" si="3"/>
        <v>8</v>
      </c>
      <c r="K67" s="101" t="str">
        <f t="shared" si="4"/>
        <v>Medium</v>
      </c>
      <c r="L67" s="101" t="str">
        <f t="shared" si="5"/>
        <v>Internal</v>
      </c>
      <c r="M67" s="101" t="s">
        <v>241</v>
      </c>
    </row>
    <row r="68" spans="1:13" ht="30" x14ac:dyDescent="0.2">
      <c r="A68" s="209"/>
      <c r="B68" s="101" t="s">
        <v>295</v>
      </c>
      <c r="C68" s="103" t="s">
        <v>467</v>
      </c>
      <c r="D68" s="101">
        <v>1</v>
      </c>
      <c r="E68" s="103" t="s">
        <v>324</v>
      </c>
      <c r="F68" s="101" t="s">
        <v>240</v>
      </c>
      <c r="G68" s="101">
        <v>2</v>
      </c>
      <c r="H68" s="101">
        <v>4</v>
      </c>
      <c r="I68" s="101">
        <v>4</v>
      </c>
      <c r="J68" s="101">
        <f t="shared" si="3"/>
        <v>10</v>
      </c>
      <c r="K68" s="101" t="str">
        <f t="shared" si="4"/>
        <v>High</v>
      </c>
      <c r="L68" s="101" t="str">
        <f t="shared" si="5"/>
        <v>Internal</v>
      </c>
      <c r="M68" s="101" t="s">
        <v>241</v>
      </c>
    </row>
    <row r="69" spans="1:13" ht="30" x14ac:dyDescent="0.2">
      <c r="A69" s="209"/>
      <c r="B69" s="101" t="s">
        <v>295</v>
      </c>
      <c r="C69" s="103" t="s">
        <v>507</v>
      </c>
      <c r="D69" s="101">
        <v>1</v>
      </c>
      <c r="E69" s="103" t="s">
        <v>324</v>
      </c>
      <c r="F69" s="101" t="s">
        <v>240</v>
      </c>
      <c r="G69" s="101">
        <v>2</v>
      </c>
      <c r="H69" s="101">
        <v>4</v>
      </c>
      <c r="I69" s="101">
        <v>4</v>
      </c>
      <c r="J69" s="101">
        <f t="shared" si="3"/>
        <v>10</v>
      </c>
      <c r="K69" s="101" t="str">
        <f t="shared" si="4"/>
        <v>High</v>
      </c>
      <c r="L69" s="101" t="str">
        <f t="shared" si="5"/>
        <v>Internal</v>
      </c>
      <c r="M69" s="101" t="s">
        <v>241</v>
      </c>
    </row>
    <row r="70" spans="1:13" ht="30" x14ac:dyDescent="0.2">
      <c r="A70" s="210"/>
      <c r="B70" s="101" t="s">
        <v>295</v>
      </c>
      <c r="C70" s="103" t="s">
        <v>508</v>
      </c>
      <c r="D70" s="101">
        <v>1</v>
      </c>
      <c r="E70" s="103" t="s">
        <v>324</v>
      </c>
      <c r="F70" s="101" t="s">
        <v>240</v>
      </c>
      <c r="G70" s="101">
        <v>4</v>
      </c>
      <c r="H70" s="101">
        <v>3</v>
      </c>
      <c r="I70" s="101">
        <v>2</v>
      </c>
      <c r="J70" s="101">
        <f t="shared" si="3"/>
        <v>9</v>
      </c>
      <c r="K70" s="101" t="str">
        <f t="shared" si="4"/>
        <v>High</v>
      </c>
      <c r="L70" s="101" t="str">
        <f t="shared" si="5"/>
        <v>Confidential</v>
      </c>
      <c r="M70" s="101" t="s">
        <v>241</v>
      </c>
    </row>
    <row r="71" spans="1:13" ht="30" x14ac:dyDescent="0.2">
      <c r="A71" s="208">
        <v>2</v>
      </c>
      <c r="B71" s="101" t="s">
        <v>658</v>
      </c>
      <c r="C71" s="102" t="s">
        <v>345</v>
      </c>
      <c r="D71" s="104">
        <v>288</v>
      </c>
      <c r="E71" s="103" t="s">
        <v>66</v>
      </c>
      <c r="F71" s="101" t="s">
        <v>240</v>
      </c>
      <c r="G71" s="101">
        <v>2</v>
      </c>
      <c r="H71" s="101">
        <v>5</v>
      </c>
      <c r="I71" s="101">
        <v>5</v>
      </c>
      <c r="J71" s="101">
        <f t="shared" si="1"/>
        <v>12</v>
      </c>
      <c r="K71" s="101" t="str">
        <f t="shared" si="2"/>
        <v>Critical</v>
      </c>
      <c r="L71" s="101" t="str">
        <f t="shared" ref="L71:L94" si="12">IF(G71&lt;=1,"Public",IF(AND(G71&gt;1,G71&lt;=3),"Internal",IF(AND(G71&gt;3,G71&lt;=5),"Confidential","Error")))</f>
        <v>Internal</v>
      </c>
      <c r="M71" s="101" t="s">
        <v>319</v>
      </c>
    </row>
    <row r="72" spans="1:13" ht="30" x14ac:dyDescent="0.2">
      <c r="A72" s="209"/>
      <c r="B72" s="101" t="s">
        <v>658</v>
      </c>
      <c r="C72" s="102" t="s">
        <v>346</v>
      </c>
      <c r="D72" s="104">
        <v>14</v>
      </c>
      <c r="E72" s="103" t="s">
        <v>66</v>
      </c>
      <c r="F72" s="101" t="s">
        <v>240</v>
      </c>
      <c r="G72" s="101">
        <v>2</v>
      </c>
      <c r="H72" s="101">
        <v>5</v>
      </c>
      <c r="I72" s="101">
        <v>5</v>
      </c>
      <c r="J72" s="101">
        <f t="shared" si="1"/>
        <v>12</v>
      </c>
      <c r="K72" s="101" t="str">
        <f t="shared" si="2"/>
        <v>Critical</v>
      </c>
      <c r="L72" s="101" t="str">
        <f t="shared" si="12"/>
        <v>Internal</v>
      </c>
      <c r="M72" s="101" t="s">
        <v>319</v>
      </c>
    </row>
    <row r="73" spans="1:13" ht="30" x14ac:dyDescent="0.2">
      <c r="A73" s="210"/>
      <c r="B73" s="101" t="s">
        <v>658</v>
      </c>
      <c r="C73" s="102" t="s">
        <v>347</v>
      </c>
      <c r="D73" s="104">
        <v>2</v>
      </c>
      <c r="E73" s="103" t="s">
        <v>66</v>
      </c>
      <c r="F73" s="101" t="s">
        <v>240</v>
      </c>
      <c r="G73" s="101">
        <v>2</v>
      </c>
      <c r="H73" s="101">
        <v>5</v>
      </c>
      <c r="I73" s="101">
        <v>5</v>
      </c>
      <c r="J73" s="101">
        <f t="shared" si="1"/>
        <v>12</v>
      </c>
      <c r="K73" s="101" t="str">
        <f t="shared" si="2"/>
        <v>Critical</v>
      </c>
      <c r="L73" s="101" t="str">
        <f t="shared" si="12"/>
        <v>Internal</v>
      </c>
      <c r="M73" s="101" t="s">
        <v>319</v>
      </c>
    </row>
    <row r="74" spans="1:13" ht="30" x14ac:dyDescent="0.2">
      <c r="A74" s="102">
        <v>3</v>
      </c>
      <c r="B74" s="101" t="s">
        <v>658</v>
      </c>
      <c r="C74" s="102" t="s">
        <v>348</v>
      </c>
      <c r="D74" s="104">
        <v>100</v>
      </c>
      <c r="E74" s="103" t="s">
        <v>66</v>
      </c>
      <c r="F74" s="101" t="s">
        <v>240</v>
      </c>
      <c r="G74" s="101">
        <v>3</v>
      </c>
      <c r="H74" s="101">
        <v>5</v>
      </c>
      <c r="I74" s="101">
        <v>5</v>
      </c>
      <c r="J74" s="101">
        <f t="shared" si="1"/>
        <v>13</v>
      </c>
      <c r="K74" s="101" t="str">
        <f t="shared" si="2"/>
        <v>Critical</v>
      </c>
      <c r="L74" s="101" t="str">
        <f t="shared" si="12"/>
        <v>Internal</v>
      </c>
      <c r="M74" s="101" t="s">
        <v>319</v>
      </c>
    </row>
    <row r="75" spans="1:13" ht="30" x14ac:dyDescent="0.2">
      <c r="A75" s="101">
        <v>6</v>
      </c>
      <c r="B75" s="101" t="s">
        <v>658</v>
      </c>
      <c r="C75" s="102" t="s">
        <v>107</v>
      </c>
      <c r="D75" s="101">
        <v>1</v>
      </c>
      <c r="E75" s="103" t="s">
        <v>353</v>
      </c>
      <c r="F75" s="101" t="s">
        <v>240</v>
      </c>
      <c r="G75" s="101">
        <v>5</v>
      </c>
      <c r="H75" s="101">
        <v>4</v>
      </c>
      <c r="I75" s="101">
        <v>5</v>
      </c>
      <c r="J75" s="101">
        <f>(G75+H75+I75)</f>
        <v>14</v>
      </c>
      <c r="K75" s="101" t="str">
        <f>IF(J75&lt;=4,"Low",IF(AND(J75&gt;4,J75&lt;=8),"Medium",IF(AND(J75&gt;8,J75&lt;=11),"High",IF(AND(J75&gt;11,J75&lt;=15),"Critical","Error"))))</f>
        <v>Critical</v>
      </c>
      <c r="L75" s="101" t="str">
        <f>IF(G75&lt;=1,"Public",IF(AND(G75&gt;1,G75&lt;=3),"Internal",IF(AND(G75&gt;3,G75&lt;=5),"Confidential","Error")))</f>
        <v>Confidential</v>
      </c>
      <c r="M75" s="101" t="s">
        <v>319</v>
      </c>
    </row>
    <row r="76" spans="1:13" ht="30" x14ac:dyDescent="0.2">
      <c r="A76" s="101">
        <v>7</v>
      </c>
      <c r="B76" s="101" t="s">
        <v>659</v>
      </c>
      <c r="C76" s="102" t="s">
        <v>284</v>
      </c>
      <c r="D76" s="101">
        <v>3</v>
      </c>
      <c r="E76" s="103" t="s">
        <v>353</v>
      </c>
      <c r="F76" s="101" t="s">
        <v>240</v>
      </c>
      <c r="G76" s="101">
        <v>2</v>
      </c>
      <c r="H76" s="101">
        <v>3</v>
      </c>
      <c r="I76" s="101">
        <v>4</v>
      </c>
      <c r="J76" s="101">
        <f>(G76+H76+I76)</f>
        <v>9</v>
      </c>
      <c r="K76" s="101" t="str">
        <f>IF(J76&lt;=4,"Low",IF(AND(J76&gt;4,J76&lt;=8),"Medium",IF(AND(J76&gt;8,J76&lt;=11),"High",IF(AND(J76&gt;11,J76&lt;=15),"Critical","Error"))))</f>
        <v>High</v>
      </c>
      <c r="L76" s="101" t="str">
        <f>IF(G76&lt;=1,"Public",IF(AND(G76&gt;1,G76&lt;=3),"Internal",IF(AND(G76&gt;3,G76&lt;=5),"Confidential","Error")))</f>
        <v>Internal</v>
      </c>
      <c r="M76" s="101" t="s">
        <v>320</v>
      </c>
    </row>
    <row r="77" spans="1:13" ht="30" x14ac:dyDescent="0.2">
      <c r="A77" s="211">
        <v>4</v>
      </c>
      <c r="B77" s="101" t="s">
        <v>659</v>
      </c>
      <c r="C77" s="102" t="s">
        <v>349</v>
      </c>
      <c r="D77" s="101">
        <v>34</v>
      </c>
      <c r="E77" s="103" t="s">
        <v>350</v>
      </c>
      <c r="F77" s="101" t="s">
        <v>240</v>
      </c>
      <c r="G77" s="101">
        <v>4</v>
      </c>
      <c r="H77" s="101">
        <v>4</v>
      </c>
      <c r="I77" s="101">
        <v>5</v>
      </c>
      <c r="J77" s="101">
        <f t="shared" si="1"/>
        <v>13</v>
      </c>
      <c r="K77" s="101" t="str">
        <f t="shared" si="2"/>
        <v>Critical</v>
      </c>
      <c r="L77" s="101" t="str">
        <f t="shared" si="12"/>
        <v>Confidential</v>
      </c>
      <c r="M77" s="101" t="s">
        <v>319</v>
      </c>
    </row>
    <row r="78" spans="1:13" ht="45" x14ac:dyDescent="0.2">
      <c r="A78" s="212"/>
      <c r="B78" s="101" t="s">
        <v>659</v>
      </c>
      <c r="C78" s="102" t="s">
        <v>351</v>
      </c>
      <c r="D78" s="101" t="s">
        <v>352</v>
      </c>
      <c r="E78" s="103" t="s">
        <v>353</v>
      </c>
      <c r="F78" s="101" t="s">
        <v>240</v>
      </c>
      <c r="G78" s="101">
        <v>4</v>
      </c>
      <c r="H78" s="101">
        <v>4</v>
      </c>
      <c r="I78" s="101">
        <v>5</v>
      </c>
      <c r="J78" s="101">
        <f t="shared" si="1"/>
        <v>13</v>
      </c>
      <c r="K78" s="101" t="str">
        <f t="shared" si="2"/>
        <v>Critical</v>
      </c>
      <c r="L78" s="101" t="str">
        <f t="shared" si="12"/>
        <v>Confidential</v>
      </c>
      <c r="M78" s="101" t="s">
        <v>319</v>
      </c>
    </row>
    <row r="79" spans="1:13" ht="30" x14ac:dyDescent="0.2">
      <c r="A79" s="212"/>
      <c r="B79" s="101" t="s">
        <v>659</v>
      </c>
      <c r="C79" s="102" t="s">
        <v>354</v>
      </c>
      <c r="D79" s="101">
        <v>3</v>
      </c>
      <c r="E79" s="103" t="s">
        <v>353</v>
      </c>
      <c r="F79" s="101" t="s">
        <v>240</v>
      </c>
      <c r="G79" s="101">
        <v>4</v>
      </c>
      <c r="H79" s="101">
        <v>4</v>
      </c>
      <c r="I79" s="101">
        <v>5</v>
      </c>
      <c r="J79" s="101">
        <f t="shared" si="1"/>
        <v>13</v>
      </c>
      <c r="K79" s="101" t="str">
        <f t="shared" si="2"/>
        <v>Critical</v>
      </c>
      <c r="L79" s="101" t="str">
        <f t="shared" si="12"/>
        <v>Confidential</v>
      </c>
      <c r="M79" s="101" t="s">
        <v>319</v>
      </c>
    </row>
    <row r="80" spans="1:13" ht="30" x14ac:dyDescent="0.2">
      <c r="A80" s="212"/>
      <c r="B80" s="101" t="s">
        <v>659</v>
      </c>
      <c r="C80" s="102" t="s">
        <v>355</v>
      </c>
      <c r="D80" s="101">
        <v>5</v>
      </c>
      <c r="E80" s="103" t="s">
        <v>356</v>
      </c>
      <c r="F80" s="101" t="s">
        <v>240</v>
      </c>
      <c r="G80" s="101">
        <v>2</v>
      </c>
      <c r="H80" s="101">
        <v>4</v>
      </c>
      <c r="I80" s="101">
        <v>5</v>
      </c>
      <c r="J80" s="101">
        <f t="shared" si="1"/>
        <v>11</v>
      </c>
      <c r="K80" s="101" t="str">
        <f t="shared" si="2"/>
        <v>High</v>
      </c>
      <c r="L80" s="101" t="str">
        <f t="shared" si="12"/>
        <v>Internal</v>
      </c>
      <c r="M80" s="101" t="s">
        <v>319</v>
      </c>
    </row>
    <row r="81" spans="1:13" ht="45" x14ac:dyDescent="0.2">
      <c r="A81" s="212"/>
      <c r="B81" s="101" t="s">
        <v>659</v>
      </c>
      <c r="C81" s="102" t="s">
        <v>357</v>
      </c>
      <c r="D81" s="101" t="s">
        <v>358</v>
      </c>
      <c r="E81" s="103" t="s">
        <v>356</v>
      </c>
      <c r="F81" s="101" t="s">
        <v>240</v>
      </c>
      <c r="G81" s="101">
        <v>4</v>
      </c>
      <c r="H81" s="101">
        <v>4</v>
      </c>
      <c r="I81" s="101">
        <v>5</v>
      </c>
      <c r="J81" s="101">
        <f t="shared" si="1"/>
        <v>13</v>
      </c>
      <c r="K81" s="101" t="str">
        <f t="shared" si="2"/>
        <v>Critical</v>
      </c>
      <c r="L81" s="101" t="str">
        <f t="shared" si="12"/>
        <v>Confidential</v>
      </c>
      <c r="M81" s="101" t="s">
        <v>319</v>
      </c>
    </row>
    <row r="82" spans="1:13" ht="30" x14ac:dyDescent="0.2">
      <c r="A82" s="212"/>
      <c r="B82" s="101" t="s">
        <v>659</v>
      </c>
      <c r="C82" s="102" t="s">
        <v>357</v>
      </c>
      <c r="D82" s="101" t="s">
        <v>359</v>
      </c>
      <c r="E82" s="103" t="s">
        <v>353</v>
      </c>
      <c r="F82" s="101" t="s">
        <v>240</v>
      </c>
      <c r="G82" s="101">
        <v>4</v>
      </c>
      <c r="H82" s="101">
        <v>4</v>
      </c>
      <c r="I82" s="101">
        <v>5</v>
      </c>
      <c r="J82" s="101">
        <f t="shared" si="1"/>
        <v>13</v>
      </c>
      <c r="K82" s="101" t="str">
        <f t="shared" si="2"/>
        <v>Critical</v>
      </c>
      <c r="L82" s="101" t="str">
        <f t="shared" si="12"/>
        <v>Confidential</v>
      </c>
      <c r="M82" s="101" t="s">
        <v>319</v>
      </c>
    </row>
    <row r="83" spans="1:13" ht="30" x14ac:dyDescent="0.2">
      <c r="A83" s="212"/>
      <c r="B83" s="101" t="s">
        <v>659</v>
      </c>
      <c r="C83" s="102" t="s">
        <v>360</v>
      </c>
      <c r="D83" s="101">
        <v>2</v>
      </c>
      <c r="E83" s="103" t="s">
        <v>353</v>
      </c>
      <c r="F83" s="101" t="s">
        <v>240</v>
      </c>
      <c r="G83" s="101">
        <v>2</v>
      </c>
      <c r="H83" s="101">
        <v>4</v>
      </c>
      <c r="I83" s="101">
        <v>5</v>
      </c>
      <c r="J83" s="101">
        <f t="shared" si="1"/>
        <v>11</v>
      </c>
      <c r="K83" s="101" t="str">
        <f t="shared" si="2"/>
        <v>High</v>
      </c>
      <c r="L83" s="101" t="str">
        <f t="shared" si="12"/>
        <v>Internal</v>
      </c>
      <c r="M83" s="101" t="s">
        <v>319</v>
      </c>
    </row>
    <row r="84" spans="1:13" ht="30" x14ac:dyDescent="0.2">
      <c r="A84" s="213"/>
      <c r="B84" s="101" t="s">
        <v>659</v>
      </c>
      <c r="C84" s="102" t="s">
        <v>361</v>
      </c>
      <c r="D84" s="101">
        <v>8</v>
      </c>
      <c r="E84" s="103" t="s">
        <v>362</v>
      </c>
      <c r="F84" s="101" t="s">
        <v>240</v>
      </c>
      <c r="G84" s="101">
        <v>3</v>
      </c>
      <c r="H84" s="101">
        <v>4</v>
      </c>
      <c r="I84" s="101">
        <v>5</v>
      </c>
      <c r="J84" s="101">
        <f t="shared" si="1"/>
        <v>12</v>
      </c>
      <c r="K84" s="101" t="str">
        <f t="shared" si="2"/>
        <v>Critical</v>
      </c>
      <c r="L84" s="101" t="str">
        <f t="shared" si="12"/>
        <v>Internal</v>
      </c>
      <c r="M84" s="101" t="s">
        <v>319</v>
      </c>
    </row>
    <row r="85" spans="1:13" ht="135" x14ac:dyDescent="0.2">
      <c r="A85" s="204"/>
      <c r="B85" s="101" t="s">
        <v>660</v>
      </c>
      <c r="C85" s="103" t="s">
        <v>363</v>
      </c>
      <c r="D85" s="82">
        <v>38</v>
      </c>
      <c r="E85" s="103" t="s">
        <v>551</v>
      </c>
      <c r="F85" s="101" t="s">
        <v>240</v>
      </c>
      <c r="G85" s="101">
        <v>4</v>
      </c>
      <c r="H85" s="101">
        <v>4</v>
      </c>
      <c r="I85" s="101">
        <v>4</v>
      </c>
      <c r="J85" s="101">
        <f t="shared" si="1"/>
        <v>12</v>
      </c>
      <c r="K85" s="101" t="str">
        <f t="shared" si="2"/>
        <v>Critical</v>
      </c>
      <c r="L85" s="101" t="str">
        <f t="shared" si="12"/>
        <v>Confidential</v>
      </c>
      <c r="M85" s="101" t="s">
        <v>319</v>
      </c>
    </row>
    <row r="86" spans="1:13" ht="30" x14ac:dyDescent="0.2">
      <c r="A86" s="204"/>
      <c r="B86" s="101" t="s">
        <v>660</v>
      </c>
      <c r="C86" s="102" t="s">
        <v>364</v>
      </c>
      <c r="D86" s="101" t="s">
        <v>553</v>
      </c>
      <c r="E86" s="103" t="s">
        <v>552</v>
      </c>
      <c r="F86" s="101" t="s">
        <v>240</v>
      </c>
      <c r="G86" s="101">
        <v>4</v>
      </c>
      <c r="H86" s="101">
        <v>4</v>
      </c>
      <c r="I86" s="101">
        <v>4</v>
      </c>
      <c r="J86" s="101">
        <f t="shared" si="1"/>
        <v>12</v>
      </c>
      <c r="K86" s="101" t="str">
        <f t="shared" si="2"/>
        <v>Critical</v>
      </c>
      <c r="L86" s="101" t="str">
        <f t="shared" si="12"/>
        <v>Confidential</v>
      </c>
      <c r="M86" s="101" t="s">
        <v>319</v>
      </c>
    </row>
    <row r="87" spans="1:13" ht="30" x14ac:dyDescent="0.2">
      <c r="A87" s="204"/>
      <c r="B87" s="101" t="s">
        <v>660</v>
      </c>
      <c r="C87" s="102" t="s">
        <v>365</v>
      </c>
      <c r="D87" s="101" t="s">
        <v>555</v>
      </c>
      <c r="E87" s="103" t="s">
        <v>554</v>
      </c>
      <c r="F87" s="101" t="s">
        <v>240</v>
      </c>
      <c r="G87" s="101">
        <v>4</v>
      </c>
      <c r="H87" s="101">
        <v>4</v>
      </c>
      <c r="I87" s="101">
        <v>4</v>
      </c>
      <c r="J87" s="101">
        <f t="shared" si="1"/>
        <v>12</v>
      </c>
      <c r="K87" s="101" t="str">
        <f t="shared" si="2"/>
        <v>Critical</v>
      </c>
      <c r="L87" s="101" t="str">
        <f t="shared" si="12"/>
        <v>Confidential</v>
      </c>
      <c r="M87" s="101" t="s">
        <v>319</v>
      </c>
    </row>
    <row r="88" spans="1:13" ht="30" x14ac:dyDescent="0.2">
      <c r="A88" s="204"/>
      <c r="B88" s="101" t="s">
        <v>660</v>
      </c>
      <c r="C88" s="102" t="s">
        <v>283</v>
      </c>
      <c r="D88" s="101">
        <v>9</v>
      </c>
      <c r="E88" s="103" t="s">
        <v>328</v>
      </c>
      <c r="F88" s="101" t="s">
        <v>240</v>
      </c>
      <c r="G88" s="101">
        <v>2</v>
      </c>
      <c r="H88" s="101">
        <v>4</v>
      </c>
      <c r="I88" s="101">
        <v>4</v>
      </c>
      <c r="J88" s="101">
        <f t="shared" si="1"/>
        <v>10</v>
      </c>
      <c r="K88" s="101" t="str">
        <f t="shared" si="2"/>
        <v>High</v>
      </c>
      <c r="L88" s="101" t="str">
        <f t="shared" si="12"/>
        <v>Internal</v>
      </c>
      <c r="M88" s="101" t="s">
        <v>319</v>
      </c>
    </row>
    <row r="89" spans="1:13" ht="30" x14ac:dyDescent="0.2">
      <c r="A89" s="105">
        <v>8</v>
      </c>
      <c r="B89" s="101" t="s">
        <v>686</v>
      </c>
      <c r="C89" s="102" t="s">
        <v>366</v>
      </c>
      <c r="D89" s="101">
        <v>12</v>
      </c>
      <c r="E89" s="103" t="s">
        <v>367</v>
      </c>
      <c r="F89" s="101" t="s">
        <v>240</v>
      </c>
      <c r="G89" s="101">
        <v>4</v>
      </c>
      <c r="H89" s="101">
        <v>3</v>
      </c>
      <c r="I89" s="101">
        <v>3</v>
      </c>
      <c r="J89" s="101">
        <f t="shared" si="1"/>
        <v>10</v>
      </c>
      <c r="K89" s="101" t="str">
        <f t="shared" si="2"/>
        <v>High</v>
      </c>
      <c r="L89" s="101" t="str">
        <f t="shared" si="12"/>
        <v>Confidential</v>
      </c>
      <c r="M89" s="101" t="s">
        <v>319</v>
      </c>
    </row>
    <row r="90" spans="1:13" ht="135" x14ac:dyDescent="0.2">
      <c r="A90" s="212"/>
      <c r="B90" s="101" t="s">
        <v>687</v>
      </c>
      <c r="C90" s="102" t="s">
        <v>285</v>
      </c>
      <c r="D90" s="101">
        <v>26</v>
      </c>
      <c r="E90" s="103" t="s">
        <v>329</v>
      </c>
      <c r="F90" s="101" t="s">
        <v>240</v>
      </c>
      <c r="G90" s="101">
        <v>2</v>
      </c>
      <c r="H90" s="101">
        <v>4</v>
      </c>
      <c r="I90" s="101">
        <v>4</v>
      </c>
      <c r="J90" s="101">
        <f t="shared" si="1"/>
        <v>10</v>
      </c>
      <c r="K90" s="101" t="str">
        <f t="shared" si="2"/>
        <v>High</v>
      </c>
      <c r="L90" s="101" t="str">
        <f t="shared" si="12"/>
        <v>Internal</v>
      </c>
      <c r="M90" s="101" t="s">
        <v>319</v>
      </c>
    </row>
    <row r="91" spans="1:13" ht="30" x14ac:dyDescent="0.2">
      <c r="A91" s="212"/>
      <c r="B91" s="101" t="s">
        <v>687</v>
      </c>
      <c r="C91" s="102" t="s">
        <v>368</v>
      </c>
      <c r="D91" s="101">
        <v>8</v>
      </c>
      <c r="E91" s="103" t="s">
        <v>556</v>
      </c>
      <c r="F91" s="101" t="s">
        <v>240</v>
      </c>
      <c r="G91" s="101">
        <v>4</v>
      </c>
      <c r="H91" s="101">
        <v>3</v>
      </c>
      <c r="I91" s="101">
        <v>4</v>
      </c>
      <c r="J91" s="101">
        <f t="shared" si="1"/>
        <v>11</v>
      </c>
      <c r="K91" s="101" t="str">
        <f t="shared" si="2"/>
        <v>High</v>
      </c>
      <c r="L91" s="101" t="str">
        <f t="shared" si="12"/>
        <v>Confidential</v>
      </c>
      <c r="M91" s="101" t="s">
        <v>319</v>
      </c>
    </row>
    <row r="92" spans="1:13" ht="30" x14ac:dyDescent="0.2">
      <c r="A92" s="204">
        <v>10</v>
      </c>
      <c r="B92" s="101" t="s">
        <v>692</v>
      </c>
      <c r="C92" s="102" t="s">
        <v>286</v>
      </c>
      <c r="D92" s="101" t="s">
        <v>241</v>
      </c>
      <c r="E92" s="103" t="s">
        <v>369</v>
      </c>
      <c r="F92" s="101" t="s">
        <v>240</v>
      </c>
      <c r="G92" s="101">
        <v>4</v>
      </c>
      <c r="H92" s="101">
        <v>4</v>
      </c>
      <c r="I92" s="101">
        <v>4</v>
      </c>
      <c r="J92" s="101">
        <f t="shared" si="1"/>
        <v>12</v>
      </c>
      <c r="K92" s="101" t="str">
        <f t="shared" si="2"/>
        <v>Critical</v>
      </c>
      <c r="L92" s="101" t="str">
        <f t="shared" si="12"/>
        <v>Confidential</v>
      </c>
      <c r="M92" s="101" t="s">
        <v>287</v>
      </c>
    </row>
    <row r="93" spans="1:13" ht="15" x14ac:dyDescent="0.2">
      <c r="A93" s="204"/>
      <c r="B93" s="101" t="s">
        <v>692</v>
      </c>
      <c r="C93" s="102" t="s">
        <v>288</v>
      </c>
      <c r="D93" s="101" t="s">
        <v>241</v>
      </c>
      <c r="E93" s="103" t="s">
        <v>289</v>
      </c>
      <c r="F93" s="101" t="s">
        <v>240</v>
      </c>
      <c r="G93" s="101">
        <v>4</v>
      </c>
      <c r="H93" s="101">
        <v>4</v>
      </c>
      <c r="I93" s="101">
        <v>4</v>
      </c>
      <c r="J93" s="101">
        <f t="shared" si="1"/>
        <v>12</v>
      </c>
      <c r="K93" s="101" t="str">
        <f t="shared" si="2"/>
        <v>Critical</v>
      </c>
      <c r="L93" s="101" t="str">
        <f t="shared" si="12"/>
        <v>Confidential</v>
      </c>
      <c r="M93" s="101" t="s">
        <v>287</v>
      </c>
    </row>
    <row r="94" spans="1:13" ht="30" x14ac:dyDescent="0.2">
      <c r="A94" s="204"/>
      <c r="B94" s="101" t="s">
        <v>692</v>
      </c>
      <c r="C94" s="102" t="s">
        <v>290</v>
      </c>
      <c r="D94" s="101" t="s">
        <v>241</v>
      </c>
      <c r="E94" s="103" t="s">
        <v>369</v>
      </c>
      <c r="F94" s="101" t="s">
        <v>240</v>
      </c>
      <c r="G94" s="101">
        <v>4</v>
      </c>
      <c r="H94" s="101">
        <v>4</v>
      </c>
      <c r="I94" s="101">
        <v>4</v>
      </c>
      <c r="J94" s="101">
        <f t="shared" si="1"/>
        <v>12</v>
      </c>
      <c r="K94" s="101" t="str">
        <f t="shared" si="2"/>
        <v>Critical</v>
      </c>
      <c r="L94" s="101" t="str">
        <f t="shared" si="12"/>
        <v>Confidential</v>
      </c>
      <c r="M94" s="101" t="s">
        <v>287</v>
      </c>
    </row>
    <row r="95" spans="1:13" ht="15" x14ac:dyDescent="0.2">
      <c r="B95" s="101" t="s">
        <v>748</v>
      </c>
      <c r="C95" s="85" t="s">
        <v>528</v>
      </c>
      <c r="D95" s="77">
        <v>1</v>
      </c>
      <c r="E95" s="86" t="s">
        <v>560</v>
      </c>
      <c r="F95" s="101" t="s">
        <v>240</v>
      </c>
      <c r="G95" s="77">
        <v>2</v>
      </c>
      <c r="H95" s="77">
        <v>2</v>
      </c>
      <c r="I95" s="77">
        <v>4</v>
      </c>
      <c r="J95" s="101">
        <f>(G95+H95+I95)</f>
        <v>8</v>
      </c>
      <c r="K95" s="101" t="str">
        <f t="shared" ref="K95" si="13">IF(J95&lt;=4,"Low",IF(AND(J95&gt;4,J95&lt;=8),"Medium",IF(AND(J95&gt;8,J95&lt;=11),"High",IF(AND(J95&gt;11,J95&lt;=15),"Critical","Error"))))</f>
        <v>Medium</v>
      </c>
      <c r="L95" s="101" t="str">
        <f>IF(G95&lt;=1,"Public",IF(AND(G95&gt;1,G95&lt;=3),"Internal",IF(AND(G95&gt;3,G95&lt;=5),"Confidential","Error")))</f>
        <v>Internal</v>
      </c>
      <c r="M95" s="101" t="s">
        <v>319</v>
      </c>
    </row>
    <row r="96" spans="1:13" ht="15" x14ac:dyDescent="0.2">
      <c r="B96" s="101" t="s">
        <v>748</v>
      </c>
      <c r="C96" s="85" t="s">
        <v>559</v>
      </c>
      <c r="D96" s="77">
        <v>10</v>
      </c>
      <c r="E96" s="86" t="s">
        <v>560</v>
      </c>
      <c r="F96" s="101" t="s">
        <v>240</v>
      </c>
      <c r="G96" s="77">
        <v>2</v>
      </c>
      <c r="H96" s="77">
        <v>2</v>
      </c>
      <c r="I96" s="77">
        <v>4</v>
      </c>
      <c r="J96" s="101">
        <f t="shared" ref="J96:J104" si="14">(G96+H96+I96)</f>
        <v>8</v>
      </c>
      <c r="K96" s="101" t="str">
        <f t="shared" ref="K96:K104" si="15">IF(J96&lt;=4,"Low",IF(AND(J96&gt;4,J96&lt;=8),"Medium",IF(AND(J96&gt;8,J96&lt;=11),"High",IF(AND(J96&gt;11,J96&lt;=15),"Critical","Error"))))</f>
        <v>Medium</v>
      </c>
      <c r="L96" s="101" t="str">
        <f t="shared" ref="L96:L104" si="16">IF(G96&lt;=1,"Public",IF(AND(G96&gt;1,G96&lt;=3),"Internal",IF(AND(G96&gt;3,G96&lt;=5),"Confidential","Error")))</f>
        <v>Internal</v>
      </c>
      <c r="M96" s="101" t="s">
        <v>319</v>
      </c>
    </row>
    <row r="97" spans="2:13" ht="15" x14ac:dyDescent="0.2">
      <c r="B97" s="101" t="s">
        <v>748</v>
      </c>
      <c r="C97" s="85" t="s">
        <v>529</v>
      </c>
      <c r="D97" s="77">
        <v>10</v>
      </c>
      <c r="E97" s="86" t="s">
        <v>560</v>
      </c>
      <c r="F97" s="101" t="s">
        <v>240</v>
      </c>
      <c r="G97" s="77">
        <v>2</v>
      </c>
      <c r="H97" s="77">
        <v>2</v>
      </c>
      <c r="I97" s="77">
        <v>4</v>
      </c>
      <c r="J97" s="101">
        <f t="shared" si="14"/>
        <v>8</v>
      </c>
      <c r="K97" s="101" t="str">
        <f t="shared" si="15"/>
        <v>Medium</v>
      </c>
      <c r="L97" s="101" t="str">
        <f t="shared" si="16"/>
        <v>Internal</v>
      </c>
      <c r="M97" s="101" t="s">
        <v>319</v>
      </c>
    </row>
    <row r="98" spans="2:13" ht="15" x14ac:dyDescent="0.2">
      <c r="B98" s="101" t="s">
        <v>748</v>
      </c>
      <c r="C98" s="85" t="s">
        <v>530</v>
      </c>
      <c r="D98" s="77">
        <v>1</v>
      </c>
      <c r="E98" s="86" t="s">
        <v>560</v>
      </c>
      <c r="F98" s="101" t="s">
        <v>240</v>
      </c>
      <c r="G98" s="77">
        <v>2</v>
      </c>
      <c r="H98" s="77">
        <v>2</v>
      </c>
      <c r="I98" s="77">
        <v>4</v>
      </c>
      <c r="J98" s="101">
        <f t="shared" si="14"/>
        <v>8</v>
      </c>
      <c r="K98" s="101" t="str">
        <f t="shared" si="15"/>
        <v>Medium</v>
      </c>
      <c r="L98" s="101" t="str">
        <f t="shared" si="16"/>
        <v>Internal</v>
      </c>
      <c r="M98" s="101" t="s">
        <v>319</v>
      </c>
    </row>
    <row r="99" spans="2:13" ht="15" x14ac:dyDescent="0.2">
      <c r="B99" s="101" t="s">
        <v>748</v>
      </c>
      <c r="C99" s="85" t="s">
        <v>531</v>
      </c>
      <c r="D99" s="77">
        <v>2</v>
      </c>
      <c r="E99" s="86" t="s">
        <v>560</v>
      </c>
      <c r="F99" s="101" t="s">
        <v>240</v>
      </c>
      <c r="G99" s="77">
        <v>2</v>
      </c>
      <c r="H99" s="77">
        <v>2</v>
      </c>
      <c r="I99" s="77">
        <v>4</v>
      </c>
      <c r="J99" s="101">
        <f t="shared" si="14"/>
        <v>8</v>
      </c>
      <c r="K99" s="101" t="str">
        <f t="shared" si="15"/>
        <v>Medium</v>
      </c>
      <c r="L99" s="101" t="str">
        <f t="shared" si="16"/>
        <v>Internal</v>
      </c>
      <c r="M99" s="101" t="s">
        <v>319</v>
      </c>
    </row>
    <row r="100" spans="2:13" ht="15" x14ac:dyDescent="0.2">
      <c r="B100" s="101" t="s">
        <v>748</v>
      </c>
      <c r="C100" s="85" t="s">
        <v>532</v>
      </c>
      <c r="D100" s="77">
        <v>1</v>
      </c>
      <c r="E100" s="86" t="s">
        <v>560</v>
      </c>
      <c r="F100" s="101" t="s">
        <v>240</v>
      </c>
      <c r="G100" s="77">
        <v>2</v>
      </c>
      <c r="H100" s="77">
        <v>2</v>
      </c>
      <c r="I100" s="77">
        <v>4</v>
      </c>
      <c r="J100" s="101">
        <f t="shared" si="14"/>
        <v>8</v>
      </c>
      <c r="K100" s="101" t="str">
        <f t="shared" si="15"/>
        <v>Medium</v>
      </c>
      <c r="L100" s="101" t="str">
        <f t="shared" si="16"/>
        <v>Internal</v>
      </c>
      <c r="M100" s="101" t="s">
        <v>319</v>
      </c>
    </row>
    <row r="101" spans="2:13" ht="15" x14ac:dyDescent="0.2">
      <c r="B101" s="101" t="s">
        <v>748</v>
      </c>
      <c r="C101" s="85" t="s">
        <v>533</v>
      </c>
      <c r="D101" s="77">
        <v>1</v>
      </c>
      <c r="E101" s="86" t="s">
        <v>560</v>
      </c>
      <c r="F101" s="101" t="s">
        <v>240</v>
      </c>
      <c r="G101" s="77">
        <v>2</v>
      </c>
      <c r="H101" s="77">
        <v>2</v>
      </c>
      <c r="I101" s="77">
        <v>4</v>
      </c>
      <c r="J101" s="101">
        <f t="shared" si="14"/>
        <v>8</v>
      </c>
      <c r="K101" s="101" t="str">
        <f t="shared" si="15"/>
        <v>Medium</v>
      </c>
      <c r="L101" s="101" t="str">
        <f t="shared" si="16"/>
        <v>Internal</v>
      </c>
      <c r="M101" s="101" t="s">
        <v>319</v>
      </c>
    </row>
    <row r="102" spans="2:13" ht="15" x14ac:dyDescent="0.2">
      <c r="B102" s="101" t="s">
        <v>748</v>
      </c>
      <c r="C102" s="85" t="s">
        <v>534</v>
      </c>
      <c r="D102" s="77">
        <v>1</v>
      </c>
      <c r="E102" s="86" t="s">
        <v>560</v>
      </c>
      <c r="F102" s="101" t="s">
        <v>240</v>
      </c>
      <c r="G102" s="77">
        <v>2</v>
      </c>
      <c r="H102" s="77">
        <v>2</v>
      </c>
      <c r="I102" s="77">
        <v>4</v>
      </c>
      <c r="J102" s="101">
        <f t="shared" si="14"/>
        <v>8</v>
      </c>
      <c r="K102" s="101" t="str">
        <f t="shared" si="15"/>
        <v>Medium</v>
      </c>
      <c r="L102" s="101" t="str">
        <f t="shared" si="16"/>
        <v>Internal</v>
      </c>
      <c r="M102" s="101" t="s">
        <v>319</v>
      </c>
    </row>
    <row r="103" spans="2:13" ht="15" x14ac:dyDescent="0.2">
      <c r="B103" s="101" t="s">
        <v>748</v>
      </c>
      <c r="C103" s="85" t="s">
        <v>535</v>
      </c>
      <c r="D103" s="77">
        <v>1</v>
      </c>
      <c r="E103" s="86" t="s">
        <v>560</v>
      </c>
      <c r="F103" s="101" t="s">
        <v>240</v>
      </c>
      <c r="G103" s="77">
        <v>2</v>
      </c>
      <c r="H103" s="77">
        <v>2</v>
      </c>
      <c r="I103" s="77">
        <v>4</v>
      </c>
      <c r="J103" s="101">
        <f t="shared" si="14"/>
        <v>8</v>
      </c>
      <c r="K103" s="101" t="str">
        <f t="shared" si="15"/>
        <v>Medium</v>
      </c>
      <c r="L103" s="101" t="str">
        <f t="shared" si="16"/>
        <v>Internal</v>
      </c>
      <c r="M103" s="101" t="s">
        <v>319</v>
      </c>
    </row>
    <row r="104" spans="2:13" ht="15" x14ac:dyDescent="0.2">
      <c r="B104" s="101" t="s">
        <v>748</v>
      </c>
      <c r="C104" s="85" t="s">
        <v>536</v>
      </c>
      <c r="D104" s="77">
        <v>1</v>
      </c>
      <c r="E104" s="86" t="s">
        <v>560</v>
      </c>
      <c r="F104" s="101" t="s">
        <v>240</v>
      </c>
      <c r="G104" s="77">
        <v>2</v>
      </c>
      <c r="H104" s="77">
        <v>2</v>
      </c>
      <c r="I104" s="77">
        <v>4</v>
      </c>
      <c r="J104" s="101">
        <f t="shared" si="14"/>
        <v>8</v>
      </c>
      <c r="K104" s="101" t="str">
        <f t="shared" si="15"/>
        <v>Medium</v>
      </c>
      <c r="L104" s="101" t="str">
        <f t="shared" si="16"/>
        <v>Internal</v>
      </c>
      <c r="M104" s="101" t="s">
        <v>319</v>
      </c>
    </row>
    <row r="105" spans="2:13" ht="270" x14ac:dyDescent="0.2">
      <c r="B105" s="101" t="s">
        <v>549</v>
      </c>
      <c r="C105" s="87" t="s">
        <v>538</v>
      </c>
      <c r="D105" s="77">
        <v>129</v>
      </c>
      <c r="E105" s="86" t="s">
        <v>565</v>
      </c>
      <c r="F105" s="101" t="s">
        <v>240</v>
      </c>
      <c r="G105" s="77">
        <v>2</v>
      </c>
      <c r="H105" s="77">
        <v>3</v>
      </c>
      <c r="I105" s="77">
        <v>4</v>
      </c>
      <c r="J105" s="101">
        <f t="shared" ref="J105" si="17">(G105+H105+I105)</f>
        <v>9</v>
      </c>
      <c r="K105" s="101" t="str">
        <f t="shared" ref="K105" si="18">IF(J105&lt;=4,"Low",IF(AND(J105&gt;4,J105&lt;=8),"Medium",IF(AND(J105&gt;8,J105&lt;=11),"High",IF(AND(J105&gt;11,J105&lt;=15),"Critical","Error"))))</f>
        <v>High</v>
      </c>
      <c r="L105" s="101" t="str">
        <f t="shared" ref="L105" si="19">IF(G105&lt;=1,"Public",IF(AND(G105&gt;1,G105&lt;=3),"Internal",IF(AND(G105&gt;3,G105&lt;=5),"Confidential","Error")))</f>
        <v>Internal</v>
      </c>
      <c r="M105" s="101" t="s">
        <v>319</v>
      </c>
    </row>
    <row r="106" spans="2:13" ht="60" x14ac:dyDescent="0.2">
      <c r="B106" s="101" t="s">
        <v>549</v>
      </c>
      <c r="C106" s="85" t="s">
        <v>539</v>
      </c>
      <c r="D106" s="77">
        <v>11</v>
      </c>
      <c r="E106" s="86" t="s">
        <v>564</v>
      </c>
      <c r="F106" s="101" t="s">
        <v>240</v>
      </c>
      <c r="G106" s="77">
        <v>2</v>
      </c>
      <c r="H106" s="77">
        <v>3</v>
      </c>
      <c r="I106" s="77">
        <v>4</v>
      </c>
      <c r="J106" s="101">
        <f t="shared" ref="J106" si="20">(G106+H106+I106)</f>
        <v>9</v>
      </c>
      <c r="K106" s="101" t="str">
        <f t="shared" ref="K106" si="21">IF(J106&lt;=4,"Low",IF(AND(J106&gt;4,J106&lt;=8),"Medium",IF(AND(J106&gt;8,J106&lt;=11),"High",IF(AND(J106&gt;11,J106&lt;=15),"Critical","Error"))))</f>
        <v>High</v>
      </c>
      <c r="L106" s="101" t="str">
        <f t="shared" ref="L106" si="22">IF(G106&lt;=1,"Public",IF(AND(G106&gt;1,G106&lt;=3),"Internal",IF(AND(G106&gt;3,G106&lt;=5),"Confidential","Error")))</f>
        <v>Internal</v>
      </c>
      <c r="M106" s="101" t="s">
        <v>319</v>
      </c>
    </row>
    <row r="107" spans="2:13" ht="120" x14ac:dyDescent="0.2">
      <c r="B107" s="101" t="s">
        <v>549</v>
      </c>
      <c r="C107" s="85" t="s">
        <v>540</v>
      </c>
      <c r="D107" s="77">
        <v>24</v>
      </c>
      <c r="E107" s="86" t="s">
        <v>568</v>
      </c>
      <c r="F107" s="101" t="s">
        <v>240</v>
      </c>
      <c r="G107" s="77">
        <v>2</v>
      </c>
      <c r="H107" s="77">
        <v>3</v>
      </c>
      <c r="I107" s="77">
        <v>4</v>
      </c>
      <c r="J107" s="101">
        <f t="shared" ref="J107:J115" si="23">(G107+H107+I107)</f>
        <v>9</v>
      </c>
      <c r="K107" s="101" t="str">
        <f t="shared" ref="K107:K115" si="24">IF(J107&lt;=4,"Low",IF(AND(J107&gt;4,J107&lt;=8),"Medium",IF(AND(J107&gt;8,J107&lt;=11),"High",IF(AND(J107&gt;11,J107&lt;=15),"Critical","Error"))))</f>
        <v>High</v>
      </c>
      <c r="L107" s="101" t="str">
        <f t="shared" ref="L107:L115" si="25">IF(G107&lt;=1,"Public",IF(AND(G107&gt;1,G107&lt;=3),"Internal",IF(AND(G107&gt;3,G107&lt;=5),"Confidential","Error")))</f>
        <v>Internal</v>
      </c>
      <c r="M107" s="101" t="s">
        <v>319</v>
      </c>
    </row>
    <row r="108" spans="2:13" ht="270" x14ac:dyDescent="0.2">
      <c r="B108" s="101" t="s">
        <v>549</v>
      </c>
      <c r="C108" s="85" t="s">
        <v>541</v>
      </c>
      <c r="D108" s="77">
        <v>59</v>
      </c>
      <c r="E108" s="86" t="s">
        <v>562</v>
      </c>
      <c r="F108" s="101" t="s">
        <v>240</v>
      </c>
      <c r="G108" s="77">
        <v>2</v>
      </c>
      <c r="H108" s="77">
        <v>3</v>
      </c>
      <c r="I108" s="77">
        <v>4</v>
      </c>
      <c r="J108" s="101">
        <f t="shared" si="23"/>
        <v>9</v>
      </c>
      <c r="K108" s="101" t="str">
        <f t="shared" si="24"/>
        <v>High</v>
      </c>
      <c r="L108" s="101" t="str">
        <f t="shared" si="25"/>
        <v>Internal</v>
      </c>
      <c r="M108" s="101" t="s">
        <v>319</v>
      </c>
    </row>
    <row r="109" spans="2:13" ht="75" x14ac:dyDescent="0.2">
      <c r="B109" s="101" t="s">
        <v>549</v>
      </c>
      <c r="C109" s="85" t="s">
        <v>542</v>
      </c>
      <c r="D109" s="77">
        <v>4</v>
      </c>
      <c r="E109" s="86" t="s">
        <v>563</v>
      </c>
      <c r="F109" s="101" t="s">
        <v>240</v>
      </c>
      <c r="G109" s="77">
        <v>2</v>
      </c>
      <c r="H109" s="77">
        <v>3</v>
      </c>
      <c r="I109" s="77">
        <v>4</v>
      </c>
      <c r="J109" s="101">
        <f t="shared" si="23"/>
        <v>9</v>
      </c>
      <c r="K109" s="101" t="str">
        <f t="shared" si="24"/>
        <v>High</v>
      </c>
      <c r="L109" s="101" t="str">
        <f t="shared" si="25"/>
        <v>Internal</v>
      </c>
      <c r="M109" s="101" t="s">
        <v>319</v>
      </c>
    </row>
    <row r="110" spans="2:13" ht="60" x14ac:dyDescent="0.2">
      <c r="B110" s="101" t="s">
        <v>549</v>
      </c>
      <c r="C110" s="85" t="s">
        <v>543</v>
      </c>
      <c r="D110" s="77">
        <v>21</v>
      </c>
      <c r="E110" s="86" t="s">
        <v>569</v>
      </c>
      <c r="F110" s="101" t="s">
        <v>240</v>
      </c>
      <c r="G110" s="77">
        <v>2</v>
      </c>
      <c r="H110" s="77">
        <v>3</v>
      </c>
      <c r="I110" s="77">
        <v>4</v>
      </c>
      <c r="J110" s="101">
        <f t="shared" si="23"/>
        <v>9</v>
      </c>
      <c r="K110" s="101" t="str">
        <f t="shared" si="24"/>
        <v>High</v>
      </c>
      <c r="L110" s="101" t="str">
        <f t="shared" si="25"/>
        <v>Internal</v>
      </c>
      <c r="M110" s="101" t="s">
        <v>319</v>
      </c>
    </row>
    <row r="111" spans="2:13" ht="75" x14ac:dyDescent="0.2">
      <c r="B111" s="101" t="s">
        <v>549</v>
      </c>
      <c r="C111" s="85" t="s">
        <v>544</v>
      </c>
      <c r="D111" s="77">
        <v>12</v>
      </c>
      <c r="E111" s="86" t="s">
        <v>571</v>
      </c>
      <c r="F111" s="101" t="s">
        <v>240</v>
      </c>
      <c r="G111" s="77">
        <v>2</v>
      </c>
      <c r="H111" s="77">
        <v>3</v>
      </c>
      <c r="I111" s="77">
        <v>4</v>
      </c>
      <c r="J111" s="101">
        <f t="shared" si="23"/>
        <v>9</v>
      </c>
      <c r="K111" s="101" t="str">
        <f t="shared" si="24"/>
        <v>High</v>
      </c>
      <c r="L111" s="101" t="str">
        <f t="shared" si="25"/>
        <v>Internal</v>
      </c>
      <c r="M111" s="101" t="s">
        <v>319</v>
      </c>
    </row>
    <row r="112" spans="2:13" ht="15" x14ac:dyDescent="0.2">
      <c r="B112" s="101" t="s">
        <v>549</v>
      </c>
      <c r="C112" s="85" t="s">
        <v>545</v>
      </c>
      <c r="D112" s="77">
        <v>1</v>
      </c>
      <c r="E112" s="86" t="s">
        <v>570</v>
      </c>
      <c r="F112" s="101" t="s">
        <v>240</v>
      </c>
      <c r="G112" s="77">
        <v>2</v>
      </c>
      <c r="H112" s="77">
        <v>3</v>
      </c>
      <c r="I112" s="77">
        <v>4</v>
      </c>
      <c r="J112" s="101">
        <f t="shared" si="23"/>
        <v>9</v>
      </c>
      <c r="K112" s="101" t="str">
        <f t="shared" si="24"/>
        <v>High</v>
      </c>
      <c r="L112" s="101" t="str">
        <f t="shared" si="25"/>
        <v>Internal</v>
      </c>
      <c r="M112" s="101" t="s">
        <v>319</v>
      </c>
    </row>
    <row r="113" spans="1:13" ht="15" x14ac:dyDescent="0.2">
      <c r="B113" s="101" t="s">
        <v>549</v>
      </c>
      <c r="C113" s="85" t="s">
        <v>546</v>
      </c>
      <c r="D113" s="77">
        <v>1</v>
      </c>
      <c r="E113" s="86" t="s">
        <v>561</v>
      </c>
      <c r="F113" s="101" t="s">
        <v>240</v>
      </c>
      <c r="G113" s="77">
        <v>2</v>
      </c>
      <c r="H113" s="77">
        <v>3</v>
      </c>
      <c r="I113" s="77">
        <v>4</v>
      </c>
      <c r="J113" s="101">
        <f t="shared" si="23"/>
        <v>9</v>
      </c>
      <c r="K113" s="101" t="str">
        <f t="shared" si="24"/>
        <v>High</v>
      </c>
      <c r="L113" s="101" t="str">
        <f t="shared" si="25"/>
        <v>Internal</v>
      </c>
      <c r="M113" s="101" t="s">
        <v>319</v>
      </c>
    </row>
    <row r="114" spans="1:13" ht="60" x14ac:dyDescent="0.2">
      <c r="B114" s="101" t="s">
        <v>549</v>
      </c>
      <c r="C114" s="85" t="s">
        <v>547</v>
      </c>
      <c r="D114" s="77">
        <v>32</v>
      </c>
      <c r="E114" s="86" t="s">
        <v>567</v>
      </c>
      <c r="F114" s="101" t="s">
        <v>240</v>
      </c>
      <c r="G114" s="77">
        <v>2</v>
      </c>
      <c r="H114" s="77">
        <v>3</v>
      </c>
      <c r="I114" s="77">
        <v>4</v>
      </c>
      <c r="J114" s="101">
        <f t="shared" si="23"/>
        <v>9</v>
      </c>
      <c r="K114" s="101" t="str">
        <f t="shared" si="24"/>
        <v>High</v>
      </c>
      <c r="L114" s="101" t="str">
        <f t="shared" si="25"/>
        <v>Internal</v>
      </c>
      <c r="M114" s="101" t="s">
        <v>319</v>
      </c>
    </row>
    <row r="115" spans="1:13" ht="15" x14ac:dyDescent="0.2">
      <c r="B115" s="101" t="s">
        <v>549</v>
      </c>
      <c r="C115" s="85" t="s">
        <v>548</v>
      </c>
      <c r="D115" s="77">
        <v>1</v>
      </c>
      <c r="E115" s="86" t="s">
        <v>566</v>
      </c>
      <c r="F115" s="101" t="s">
        <v>240</v>
      </c>
      <c r="G115" s="77">
        <v>2</v>
      </c>
      <c r="H115" s="77">
        <v>3</v>
      </c>
      <c r="I115" s="77">
        <v>4</v>
      </c>
      <c r="J115" s="101">
        <f t="shared" si="23"/>
        <v>9</v>
      </c>
      <c r="K115" s="101" t="str">
        <f t="shared" si="24"/>
        <v>High</v>
      </c>
      <c r="L115" s="101" t="str">
        <f t="shared" si="25"/>
        <v>Internal</v>
      </c>
      <c r="M115" s="101" t="s">
        <v>319</v>
      </c>
    </row>
    <row r="116" spans="1:13" ht="30" x14ac:dyDescent="0.2">
      <c r="A116" s="106"/>
      <c r="B116" s="101" t="s">
        <v>732</v>
      </c>
      <c r="C116" s="102" t="s">
        <v>509</v>
      </c>
      <c r="D116" s="101" t="s">
        <v>572</v>
      </c>
      <c r="E116" s="107"/>
      <c r="F116" s="101" t="s">
        <v>240</v>
      </c>
      <c r="G116" s="101">
        <v>2</v>
      </c>
      <c r="H116" s="101">
        <v>3</v>
      </c>
      <c r="I116" s="101">
        <v>4</v>
      </c>
      <c r="J116" s="101">
        <f t="shared" ref="J116" si="26">(G116+H116+I116)</f>
        <v>9</v>
      </c>
      <c r="K116" s="101" t="str">
        <f t="shared" ref="K116" si="27">IF(J116&lt;=4,"Low",IF(AND(J116&gt;4,J116&lt;=8),"Medium",IF(AND(J116&gt;8,J116&lt;=11),"High",IF(AND(J116&gt;11,J116&lt;=15),"Critical","Error"))))</f>
        <v>High</v>
      </c>
      <c r="L116" s="101" t="str">
        <f t="shared" ref="L116" si="28">IF(G116&lt;=1,"Public",IF(AND(G116&gt;1,G116&lt;=3),"Internal",IF(AND(G116&gt;3,G116&lt;=5),"Confidential","Error")))</f>
        <v>Internal</v>
      </c>
      <c r="M116" s="101" t="s">
        <v>241</v>
      </c>
    </row>
    <row r="117" spans="1:13" ht="30" x14ac:dyDescent="0.2">
      <c r="A117" s="106"/>
      <c r="B117" s="101" t="s">
        <v>732</v>
      </c>
      <c r="C117" s="102" t="s">
        <v>510</v>
      </c>
      <c r="D117" s="101" t="s">
        <v>241</v>
      </c>
      <c r="E117" s="107"/>
      <c r="F117" s="101" t="s">
        <v>240</v>
      </c>
      <c r="G117" s="101">
        <v>2</v>
      </c>
      <c r="H117" s="101">
        <v>3</v>
      </c>
      <c r="I117" s="101">
        <v>4</v>
      </c>
      <c r="J117" s="101">
        <f t="shared" ref="J117:J122" si="29">(G117+H117+I117)</f>
        <v>9</v>
      </c>
      <c r="K117" s="101" t="str">
        <f t="shared" ref="K117:K122" si="30">IF(J117&lt;=4,"Low",IF(AND(J117&gt;4,J117&lt;=8),"Medium",IF(AND(J117&gt;8,J117&lt;=11),"High",IF(AND(J117&gt;11,J117&lt;=15),"Critical","Error"))))</f>
        <v>High</v>
      </c>
      <c r="L117" s="101" t="str">
        <f t="shared" ref="L117:L122" si="31">IF(G117&lt;=1,"Public",IF(AND(G117&gt;1,G117&lt;=3),"Internal",IF(AND(G117&gt;3,G117&lt;=5),"Confidential","Error")))</f>
        <v>Internal</v>
      </c>
      <c r="M117" s="101" t="s">
        <v>241</v>
      </c>
    </row>
    <row r="118" spans="1:13" ht="30" x14ac:dyDescent="0.2">
      <c r="A118" s="106"/>
      <c r="B118" s="101" t="s">
        <v>732</v>
      </c>
      <c r="C118" s="102" t="s">
        <v>512</v>
      </c>
      <c r="D118" s="101" t="s">
        <v>573</v>
      </c>
      <c r="E118" s="107"/>
      <c r="F118" s="101" t="s">
        <v>240</v>
      </c>
      <c r="G118" s="101">
        <v>2</v>
      </c>
      <c r="H118" s="101">
        <v>3</v>
      </c>
      <c r="I118" s="101">
        <v>4</v>
      </c>
      <c r="J118" s="101">
        <f t="shared" si="29"/>
        <v>9</v>
      </c>
      <c r="K118" s="101" t="str">
        <f t="shared" si="30"/>
        <v>High</v>
      </c>
      <c r="L118" s="101" t="str">
        <f t="shared" si="31"/>
        <v>Internal</v>
      </c>
      <c r="M118" s="101" t="s">
        <v>241</v>
      </c>
    </row>
    <row r="119" spans="1:13" ht="30" x14ac:dyDescent="0.2">
      <c r="A119" s="106"/>
      <c r="B119" s="101" t="s">
        <v>732</v>
      </c>
      <c r="C119" s="102" t="s">
        <v>513</v>
      </c>
      <c r="D119" s="101" t="s">
        <v>574</v>
      </c>
      <c r="E119" s="107"/>
      <c r="F119" s="101" t="s">
        <v>240</v>
      </c>
      <c r="G119" s="101">
        <v>2</v>
      </c>
      <c r="H119" s="101">
        <v>3</v>
      </c>
      <c r="I119" s="101">
        <v>4</v>
      </c>
      <c r="J119" s="101">
        <f t="shared" si="29"/>
        <v>9</v>
      </c>
      <c r="K119" s="101" t="str">
        <f t="shared" si="30"/>
        <v>High</v>
      </c>
      <c r="L119" s="101" t="str">
        <f t="shared" si="31"/>
        <v>Internal</v>
      </c>
      <c r="M119" s="101" t="s">
        <v>241</v>
      </c>
    </row>
    <row r="120" spans="1:13" ht="30" x14ac:dyDescent="0.2">
      <c r="A120" s="106"/>
      <c r="B120" s="101" t="s">
        <v>732</v>
      </c>
      <c r="C120" s="102" t="s">
        <v>514</v>
      </c>
      <c r="D120" s="101" t="s">
        <v>574</v>
      </c>
      <c r="E120" s="107"/>
      <c r="F120" s="101" t="s">
        <v>240</v>
      </c>
      <c r="G120" s="101">
        <v>2</v>
      </c>
      <c r="H120" s="101">
        <v>3</v>
      </c>
      <c r="I120" s="101">
        <v>4</v>
      </c>
      <c r="J120" s="101">
        <f t="shared" si="29"/>
        <v>9</v>
      </c>
      <c r="K120" s="101" t="str">
        <f t="shared" si="30"/>
        <v>High</v>
      </c>
      <c r="L120" s="101" t="str">
        <f t="shared" si="31"/>
        <v>Internal</v>
      </c>
      <c r="M120" s="101" t="s">
        <v>241</v>
      </c>
    </row>
    <row r="121" spans="1:13" ht="30" x14ac:dyDescent="0.2">
      <c r="A121" s="106"/>
      <c r="B121" s="101" t="s">
        <v>732</v>
      </c>
      <c r="C121" s="102" t="s">
        <v>515</v>
      </c>
      <c r="D121" s="101" t="s">
        <v>575</v>
      </c>
      <c r="E121" s="107"/>
      <c r="F121" s="101" t="s">
        <v>240</v>
      </c>
      <c r="G121" s="101">
        <v>2</v>
      </c>
      <c r="H121" s="101">
        <v>3</v>
      </c>
      <c r="I121" s="101">
        <v>4</v>
      </c>
      <c r="J121" s="101">
        <f t="shared" si="29"/>
        <v>9</v>
      </c>
      <c r="K121" s="101" t="str">
        <f t="shared" si="30"/>
        <v>High</v>
      </c>
      <c r="L121" s="101" t="str">
        <f t="shared" si="31"/>
        <v>Internal</v>
      </c>
      <c r="M121" s="101" t="s">
        <v>241</v>
      </c>
    </row>
    <row r="122" spans="1:13" ht="30" x14ac:dyDescent="0.2">
      <c r="A122" s="106"/>
      <c r="B122" s="101" t="s">
        <v>732</v>
      </c>
      <c r="C122" s="102" t="s">
        <v>516</v>
      </c>
      <c r="D122" s="101" t="s">
        <v>576</v>
      </c>
      <c r="E122" s="107"/>
      <c r="F122" s="101" t="s">
        <v>240</v>
      </c>
      <c r="G122" s="101">
        <v>2</v>
      </c>
      <c r="H122" s="101">
        <v>3</v>
      </c>
      <c r="I122" s="101">
        <v>4</v>
      </c>
      <c r="J122" s="101">
        <f t="shared" si="29"/>
        <v>9</v>
      </c>
      <c r="K122" s="101" t="str">
        <f t="shared" si="30"/>
        <v>High</v>
      </c>
      <c r="L122" s="101" t="str">
        <f t="shared" si="31"/>
        <v>Internal</v>
      </c>
      <c r="M122" s="101" t="s">
        <v>241</v>
      </c>
    </row>
    <row r="123" spans="1:13" ht="30" x14ac:dyDescent="0.2">
      <c r="A123" s="106"/>
      <c r="B123" s="101" t="s">
        <v>736</v>
      </c>
      <c r="C123" s="102" t="s">
        <v>583</v>
      </c>
      <c r="D123" s="101" t="s">
        <v>585</v>
      </c>
      <c r="E123" s="107"/>
      <c r="F123" s="101" t="s">
        <v>240</v>
      </c>
      <c r="G123" s="101">
        <v>2</v>
      </c>
      <c r="H123" s="101">
        <v>3</v>
      </c>
      <c r="I123" s="101">
        <v>4</v>
      </c>
      <c r="J123" s="101">
        <f t="shared" ref="J123" si="32">(G123+H123+I123)</f>
        <v>9</v>
      </c>
      <c r="K123" s="101" t="str">
        <f t="shared" ref="K123" si="33">IF(J123&lt;=4,"Low",IF(AND(J123&gt;4,J123&lt;=8),"Medium",IF(AND(J123&gt;8,J123&lt;=11),"High",IF(AND(J123&gt;11,J123&lt;=15),"Critical","Error"))))</f>
        <v>High</v>
      </c>
      <c r="L123" s="101" t="str">
        <f t="shared" ref="L123" si="34">IF(G123&lt;=1,"Public",IF(AND(G123&gt;1,G123&lt;=3),"Internal",IF(AND(G123&gt;3,G123&lt;=5),"Confidential","Error")))</f>
        <v>Internal</v>
      </c>
      <c r="M123" s="101" t="s">
        <v>241</v>
      </c>
    </row>
    <row r="124" spans="1:13" ht="30" x14ac:dyDescent="0.2">
      <c r="A124" s="106"/>
      <c r="B124" s="101" t="s">
        <v>736</v>
      </c>
      <c r="C124" s="102" t="s">
        <v>586</v>
      </c>
      <c r="D124" s="101" t="s">
        <v>585</v>
      </c>
      <c r="E124" s="107"/>
      <c r="F124" s="101" t="s">
        <v>240</v>
      </c>
      <c r="G124" s="101">
        <v>2</v>
      </c>
      <c r="H124" s="101">
        <v>3</v>
      </c>
      <c r="I124" s="101">
        <v>4</v>
      </c>
      <c r="J124" s="101">
        <f t="shared" ref="J124" si="35">(G124+H124+I124)</f>
        <v>9</v>
      </c>
      <c r="K124" s="101" t="str">
        <f t="shared" ref="K124" si="36">IF(J124&lt;=4,"Low",IF(AND(J124&gt;4,J124&lt;=8),"Medium",IF(AND(J124&gt;8,J124&lt;=11),"High",IF(AND(J124&gt;11,J124&lt;=15),"Critical","Error"))))</f>
        <v>High</v>
      </c>
      <c r="L124" s="101" t="str">
        <f t="shared" ref="L124" si="37">IF(G124&lt;=1,"Public",IF(AND(G124&gt;1,G124&lt;=3),"Internal",IF(AND(G124&gt;3,G124&lt;=5),"Confidential","Error")))</f>
        <v>Internal</v>
      </c>
      <c r="M124" s="101" t="s">
        <v>241</v>
      </c>
    </row>
    <row r="125" spans="1:13" ht="30" x14ac:dyDescent="0.2">
      <c r="A125" s="106"/>
      <c r="B125" s="101" t="s">
        <v>736</v>
      </c>
      <c r="C125" s="102" t="s">
        <v>606</v>
      </c>
      <c r="D125" s="101" t="s">
        <v>241</v>
      </c>
      <c r="E125" s="107"/>
      <c r="F125" s="101" t="s">
        <v>240</v>
      </c>
      <c r="G125" s="101">
        <v>2</v>
      </c>
      <c r="H125" s="101">
        <v>3</v>
      </c>
      <c r="I125" s="101">
        <v>4</v>
      </c>
      <c r="J125" s="101">
        <f t="shared" ref="J125" si="38">(G125+H125+I125)</f>
        <v>9</v>
      </c>
      <c r="K125" s="101" t="str">
        <f t="shared" ref="K125" si="39">IF(J125&lt;=4,"Low",IF(AND(J125&gt;4,J125&lt;=8),"Medium",IF(AND(J125&gt;8,J125&lt;=11),"High",IF(AND(J125&gt;11,J125&lt;=15),"Critical","Error"))))</f>
        <v>High</v>
      </c>
      <c r="L125" s="101" t="str">
        <f t="shared" ref="L125" si="40">IF(G125&lt;=1,"Public",IF(AND(G125&gt;1,G125&lt;=3),"Internal",IF(AND(G125&gt;3,G125&lt;=5),"Confidential","Error")))</f>
        <v>Internal</v>
      </c>
      <c r="M125" s="101" t="s">
        <v>241</v>
      </c>
    </row>
    <row r="126" spans="1:13" ht="30" x14ac:dyDescent="0.2">
      <c r="A126" s="106"/>
      <c r="B126" s="101" t="s">
        <v>736</v>
      </c>
      <c r="C126" s="102" t="s">
        <v>611</v>
      </c>
      <c r="D126" s="101">
        <v>1</v>
      </c>
      <c r="E126" s="107"/>
      <c r="F126" s="101" t="s">
        <v>240</v>
      </c>
      <c r="G126" s="101">
        <v>2</v>
      </c>
      <c r="H126" s="101">
        <v>3</v>
      </c>
      <c r="I126" s="101">
        <v>4</v>
      </c>
      <c r="J126" s="101">
        <f t="shared" ref="J126" si="41">(G126+H126+I126)</f>
        <v>9</v>
      </c>
      <c r="K126" s="101" t="str">
        <f t="shared" ref="K126" si="42">IF(J126&lt;=4,"Low",IF(AND(J126&gt;4,J126&lt;=8),"Medium",IF(AND(J126&gt;8,J126&lt;=11),"High",IF(AND(J126&gt;11,J126&lt;=15),"Critical","Error"))))</f>
        <v>High</v>
      </c>
      <c r="L126" s="101" t="str">
        <f t="shared" ref="L126" si="43">IF(G126&lt;=1,"Public",IF(AND(G126&gt;1,G126&lt;=3),"Internal",IF(AND(G126&gt;3,G126&lt;=5),"Confidential","Error")))</f>
        <v>Internal</v>
      </c>
      <c r="M126" s="101" t="s">
        <v>241</v>
      </c>
    </row>
    <row r="127" spans="1:13" ht="30" x14ac:dyDescent="0.2">
      <c r="A127" s="106"/>
      <c r="B127" s="101" t="s">
        <v>736</v>
      </c>
      <c r="C127" s="102" t="s">
        <v>612</v>
      </c>
      <c r="D127" s="101">
        <v>4</v>
      </c>
      <c r="E127" s="107"/>
      <c r="F127" s="101" t="s">
        <v>240</v>
      </c>
      <c r="G127" s="101">
        <v>2</v>
      </c>
      <c r="H127" s="101">
        <v>3</v>
      </c>
      <c r="I127" s="101">
        <v>4</v>
      </c>
      <c r="J127" s="101">
        <f t="shared" ref="J127" si="44">(G127+H127+I127)</f>
        <v>9</v>
      </c>
      <c r="K127" s="101" t="str">
        <f t="shared" ref="K127" si="45">IF(J127&lt;=4,"Low",IF(AND(J127&gt;4,J127&lt;=8),"Medium",IF(AND(J127&gt;8,J127&lt;=11),"High",IF(AND(J127&gt;11,J127&lt;=15),"Critical","Error"))))</f>
        <v>High</v>
      </c>
      <c r="L127" s="101" t="str">
        <f t="shared" ref="L127" si="46">IF(G127&lt;=1,"Public",IF(AND(G127&gt;1,G127&lt;=3),"Internal",IF(AND(G127&gt;3,G127&lt;=5),"Confidential","Error")))</f>
        <v>Internal</v>
      </c>
      <c r="M127" s="101" t="s">
        <v>241</v>
      </c>
    </row>
    <row r="128" spans="1:13" ht="30" x14ac:dyDescent="0.2">
      <c r="A128" s="106"/>
      <c r="B128" s="101" t="s">
        <v>736</v>
      </c>
      <c r="C128" s="102" t="s">
        <v>613</v>
      </c>
      <c r="D128" s="101" t="s">
        <v>241</v>
      </c>
      <c r="E128" s="107"/>
      <c r="F128" s="101" t="s">
        <v>240</v>
      </c>
      <c r="G128" s="101">
        <v>2</v>
      </c>
      <c r="H128" s="101">
        <v>3</v>
      </c>
      <c r="I128" s="101">
        <v>4</v>
      </c>
      <c r="J128" s="101">
        <f t="shared" ref="J128" si="47">(G128+H128+I128)</f>
        <v>9</v>
      </c>
      <c r="K128" s="101" t="str">
        <f t="shared" ref="K128" si="48">IF(J128&lt;=4,"Low",IF(AND(J128&gt;4,J128&lt;=8),"Medium",IF(AND(J128&gt;8,J128&lt;=11),"High",IF(AND(J128&gt;11,J128&lt;=15),"Critical","Error"))))</f>
        <v>High</v>
      </c>
      <c r="L128" s="101" t="str">
        <f t="shared" ref="L128" si="49">IF(G128&lt;=1,"Public",IF(AND(G128&gt;1,G128&lt;=3),"Internal",IF(AND(G128&gt;3,G128&lt;=5),"Confidential","Error")))</f>
        <v>Internal</v>
      </c>
      <c r="M128" s="101" t="s">
        <v>241</v>
      </c>
    </row>
    <row r="129" spans="1:13" ht="30" x14ac:dyDescent="0.2">
      <c r="A129" s="106"/>
      <c r="B129" s="101" t="s">
        <v>736</v>
      </c>
      <c r="C129" s="102" t="s">
        <v>587</v>
      </c>
      <c r="D129" s="101" t="s">
        <v>573</v>
      </c>
      <c r="E129" s="107"/>
      <c r="F129" s="101" t="s">
        <v>240</v>
      </c>
      <c r="G129" s="101">
        <v>4</v>
      </c>
      <c r="H129" s="101">
        <v>5</v>
      </c>
      <c r="I129" s="101">
        <v>5</v>
      </c>
      <c r="J129" s="101">
        <f t="shared" ref="J129" si="50">(G129+H129+I129)</f>
        <v>14</v>
      </c>
      <c r="K129" s="101" t="str">
        <f t="shared" ref="K129" si="51">IF(J129&lt;=4,"Low",IF(AND(J129&gt;4,J129&lt;=8),"Medium",IF(AND(J129&gt;8,J129&lt;=11),"High",IF(AND(J129&gt;11,J129&lt;=15),"Critical","Error"))))</f>
        <v>Critical</v>
      </c>
      <c r="L129" s="101" t="str">
        <f t="shared" ref="L129" si="52">IF(G129&lt;=1,"Public",IF(AND(G129&gt;1,G129&lt;=3),"Internal",IF(AND(G129&gt;3,G129&lt;=5),"Confidential","Error")))</f>
        <v>Confidential</v>
      </c>
      <c r="M129" s="101" t="s">
        <v>241</v>
      </c>
    </row>
    <row r="130" spans="1:13" ht="30" x14ac:dyDescent="0.2">
      <c r="A130" s="106"/>
      <c r="B130" s="101" t="s">
        <v>736</v>
      </c>
      <c r="C130" s="102" t="s">
        <v>588</v>
      </c>
      <c r="D130" s="101" t="s">
        <v>591</v>
      </c>
      <c r="E130" s="107"/>
      <c r="F130" s="101" t="s">
        <v>240</v>
      </c>
      <c r="G130" s="101">
        <v>2</v>
      </c>
      <c r="H130" s="101">
        <v>3</v>
      </c>
      <c r="I130" s="101">
        <v>4</v>
      </c>
      <c r="J130" s="101">
        <f t="shared" ref="J130" si="53">(G130+H130+I130)</f>
        <v>9</v>
      </c>
      <c r="K130" s="101" t="str">
        <f t="shared" ref="K130" si="54">IF(J130&lt;=4,"Low",IF(AND(J130&gt;4,J130&lt;=8),"Medium",IF(AND(J130&gt;8,J130&lt;=11),"High",IF(AND(J130&gt;11,J130&lt;=15),"Critical","Error"))))</f>
        <v>High</v>
      </c>
      <c r="L130" s="101" t="str">
        <f t="shared" ref="L130:L147" si="55">IF(G130&lt;=1,"Public",IF(AND(G130&gt;1,G130&lt;=3),"Internal",IF(AND(G130&gt;3,G130&lt;=5),"Confidential","Error")))</f>
        <v>Internal</v>
      </c>
      <c r="M130" s="101" t="s">
        <v>241</v>
      </c>
    </row>
    <row r="131" spans="1:13" ht="30" x14ac:dyDescent="0.2">
      <c r="A131" s="106"/>
      <c r="B131" s="101" t="s">
        <v>736</v>
      </c>
      <c r="C131" s="102" t="s">
        <v>589</v>
      </c>
      <c r="D131" s="101" t="s">
        <v>577</v>
      </c>
      <c r="E131" s="107"/>
      <c r="F131" s="101" t="s">
        <v>240</v>
      </c>
      <c r="G131" s="101">
        <v>2</v>
      </c>
      <c r="H131" s="101">
        <v>3</v>
      </c>
      <c r="I131" s="101">
        <v>4</v>
      </c>
      <c r="J131" s="101">
        <f t="shared" ref="J131" si="56">(G131+H131+I131)</f>
        <v>9</v>
      </c>
      <c r="K131" s="101" t="str">
        <f t="shared" ref="K131" si="57">IF(J131&lt;=4,"Low",IF(AND(J131&gt;4,J131&lt;=8),"Medium",IF(AND(J131&gt;8,J131&lt;=11),"High",IF(AND(J131&gt;11,J131&lt;=15),"Critical","Error"))))</f>
        <v>High</v>
      </c>
      <c r="L131" s="101" t="str">
        <f t="shared" ref="L131" si="58">IF(G131&lt;=1,"Public",IF(AND(G131&gt;1,G131&lt;=3),"Internal",IF(AND(G131&gt;3,G131&lt;=5),"Confidential","Error")))</f>
        <v>Internal</v>
      </c>
      <c r="M131" s="101" t="s">
        <v>241</v>
      </c>
    </row>
    <row r="132" spans="1:13" ht="30" x14ac:dyDescent="0.2">
      <c r="A132" s="106"/>
      <c r="B132" s="101" t="s">
        <v>736</v>
      </c>
      <c r="C132" s="102" t="s">
        <v>590</v>
      </c>
      <c r="D132" s="101" t="s">
        <v>585</v>
      </c>
      <c r="E132" s="107"/>
      <c r="F132" s="101" t="s">
        <v>240</v>
      </c>
      <c r="G132" s="101">
        <v>4</v>
      </c>
      <c r="H132" s="101">
        <v>4</v>
      </c>
      <c r="I132" s="101">
        <v>5</v>
      </c>
      <c r="J132" s="101">
        <f t="shared" ref="J132" si="59">(G132+H132+I132)</f>
        <v>13</v>
      </c>
      <c r="K132" s="101" t="str">
        <f t="shared" ref="K132" si="60">IF(J132&lt;=4,"Low",IF(AND(J132&gt;4,J132&lt;=8),"Medium",IF(AND(J132&gt;8,J132&lt;=11),"High",IF(AND(J132&gt;11,J132&lt;=15),"Critical","Error"))))</f>
        <v>Critical</v>
      </c>
      <c r="L132" s="101" t="str">
        <f t="shared" ref="L132" si="61">IF(G132&lt;=1,"Public",IF(AND(G132&gt;1,G132&lt;=3),"Internal",IF(AND(G132&gt;3,G132&lt;=5),"Confidential","Error")))</f>
        <v>Confidential</v>
      </c>
      <c r="M132" s="101" t="s">
        <v>241</v>
      </c>
    </row>
    <row r="133" spans="1:13" ht="30" x14ac:dyDescent="0.2">
      <c r="A133" s="106"/>
      <c r="B133" s="101" t="s">
        <v>736</v>
      </c>
      <c r="C133" s="102" t="s">
        <v>592</v>
      </c>
      <c r="D133" s="101" t="s">
        <v>584</v>
      </c>
      <c r="E133" s="107"/>
      <c r="F133" s="101" t="s">
        <v>240</v>
      </c>
      <c r="G133" s="101">
        <v>4</v>
      </c>
      <c r="H133" s="101">
        <v>4</v>
      </c>
      <c r="I133" s="101">
        <v>5</v>
      </c>
      <c r="J133" s="101">
        <f t="shared" ref="J133" si="62">(G133+H133+I133)</f>
        <v>13</v>
      </c>
      <c r="K133" s="101" t="str">
        <f t="shared" ref="K133" si="63">IF(J133&lt;=4,"Low",IF(AND(J133&gt;4,J133&lt;=8),"Medium",IF(AND(J133&gt;8,J133&lt;=11),"High",IF(AND(J133&gt;11,J133&lt;=15),"Critical","Error"))))</f>
        <v>Critical</v>
      </c>
      <c r="L133" s="101" t="str">
        <f t="shared" ref="L133" si="64">IF(G133&lt;=1,"Public",IF(AND(G133&gt;1,G133&lt;=3),"Internal",IF(AND(G133&gt;3,G133&lt;=5),"Confidential","Error")))</f>
        <v>Confidential</v>
      </c>
      <c r="M133" s="101" t="s">
        <v>241</v>
      </c>
    </row>
    <row r="134" spans="1:13" ht="30" x14ac:dyDescent="0.2">
      <c r="A134" s="106"/>
      <c r="B134" s="101" t="s">
        <v>736</v>
      </c>
      <c r="C134" s="102" t="s">
        <v>593</v>
      </c>
      <c r="D134" s="101" t="s">
        <v>572</v>
      </c>
      <c r="E134" s="107"/>
      <c r="F134" s="101" t="s">
        <v>240</v>
      </c>
      <c r="G134" s="101">
        <v>2</v>
      </c>
      <c r="H134" s="101">
        <v>3</v>
      </c>
      <c r="I134" s="101">
        <v>4</v>
      </c>
      <c r="J134" s="101">
        <f t="shared" ref="J134:J140" si="65">(G134+H134+I134)</f>
        <v>9</v>
      </c>
      <c r="K134" s="101" t="str">
        <f t="shared" ref="K134:K140" si="66">IF(J134&lt;=4,"Low",IF(AND(J134&gt;4,J134&lt;=8),"Medium",IF(AND(J134&gt;8,J134&lt;=11),"High",IF(AND(J134&gt;11,J134&lt;=15),"Critical","Error"))))</f>
        <v>High</v>
      </c>
      <c r="L134" s="101" t="str">
        <f t="shared" ref="L134:L140" si="67">IF(G134&lt;=1,"Public",IF(AND(G134&gt;1,G134&lt;=3),"Internal",IF(AND(G134&gt;3,G134&lt;=5),"Confidential","Error")))</f>
        <v>Internal</v>
      </c>
      <c r="M134" s="101" t="s">
        <v>241</v>
      </c>
    </row>
    <row r="135" spans="1:13" ht="30" x14ac:dyDescent="0.2">
      <c r="A135" s="106"/>
      <c r="B135" s="101" t="s">
        <v>736</v>
      </c>
      <c r="C135" s="102" t="s">
        <v>608</v>
      </c>
      <c r="D135" s="101" t="s">
        <v>609</v>
      </c>
      <c r="E135" s="107"/>
      <c r="F135" s="101" t="s">
        <v>240</v>
      </c>
      <c r="G135" s="101">
        <v>2</v>
      </c>
      <c r="H135" s="101">
        <v>3</v>
      </c>
      <c r="I135" s="101">
        <v>4</v>
      </c>
      <c r="J135" s="101">
        <f t="shared" ref="J135" si="68">(G135+H135+I135)</f>
        <v>9</v>
      </c>
      <c r="K135" s="101" t="str">
        <f t="shared" ref="K135" si="69">IF(J135&lt;=4,"Low",IF(AND(J135&gt;4,J135&lt;=8),"Medium",IF(AND(J135&gt;8,J135&lt;=11),"High",IF(AND(J135&gt;11,J135&lt;=15),"Critical","Error"))))</f>
        <v>High</v>
      </c>
      <c r="L135" s="101" t="str">
        <f t="shared" ref="L135" si="70">IF(G135&lt;=1,"Public",IF(AND(G135&gt;1,G135&lt;=3),"Internal",IF(AND(G135&gt;3,G135&lt;=5),"Confidential","Error")))</f>
        <v>Internal</v>
      </c>
      <c r="M135" s="101" t="s">
        <v>241</v>
      </c>
    </row>
    <row r="136" spans="1:13" ht="30" x14ac:dyDescent="0.2">
      <c r="A136" s="106"/>
      <c r="B136" s="101" t="s">
        <v>732</v>
      </c>
      <c r="C136" s="102" t="s">
        <v>594</v>
      </c>
      <c r="D136" s="101" t="s">
        <v>595</v>
      </c>
      <c r="E136" s="107"/>
      <c r="F136" s="101" t="s">
        <v>240</v>
      </c>
      <c r="G136" s="101">
        <v>2</v>
      </c>
      <c r="H136" s="101">
        <v>3</v>
      </c>
      <c r="I136" s="101">
        <v>4</v>
      </c>
      <c r="J136" s="101">
        <f t="shared" si="65"/>
        <v>9</v>
      </c>
      <c r="K136" s="101" t="str">
        <f t="shared" si="66"/>
        <v>High</v>
      </c>
      <c r="L136" s="101" t="str">
        <f t="shared" si="67"/>
        <v>Internal</v>
      </c>
      <c r="M136" s="101" t="s">
        <v>241</v>
      </c>
    </row>
    <row r="137" spans="1:13" ht="30" x14ac:dyDescent="0.2">
      <c r="A137" s="106"/>
      <c r="B137" s="101" t="s">
        <v>732</v>
      </c>
      <c r="C137" s="102" t="s">
        <v>599</v>
      </c>
      <c r="D137" s="101" t="s">
        <v>600</v>
      </c>
      <c r="E137" s="107"/>
      <c r="F137" s="101" t="s">
        <v>240</v>
      </c>
      <c r="G137" s="101">
        <v>3</v>
      </c>
      <c r="H137" s="101">
        <v>3</v>
      </c>
      <c r="I137" s="101">
        <v>4</v>
      </c>
      <c r="J137" s="101">
        <f t="shared" ref="J137:J138" si="71">(G137+H137+I137)</f>
        <v>10</v>
      </c>
      <c r="K137" s="101" t="str">
        <f t="shared" ref="K137:K138" si="72">IF(J137&lt;=4,"Low",IF(AND(J137&gt;4,J137&lt;=8),"Medium",IF(AND(J137&gt;8,J137&lt;=11),"High",IF(AND(J137&gt;11,J137&lt;=15),"Critical","Error"))))</f>
        <v>High</v>
      </c>
      <c r="L137" s="101" t="str">
        <f t="shared" ref="L137:L138" si="73">IF(G137&lt;=1,"Public",IF(AND(G137&gt;1,G137&lt;=3),"Internal",IF(AND(G137&gt;3,G137&lt;=5),"Confidential","Error")))</f>
        <v>Internal</v>
      </c>
      <c r="M137" s="101" t="s">
        <v>241</v>
      </c>
    </row>
    <row r="138" spans="1:13" ht="30" x14ac:dyDescent="0.2">
      <c r="A138" s="106"/>
      <c r="B138" s="101" t="s">
        <v>732</v>
      </c>
      <c r="C138" s="102" t="s">
        <v>601</v>
      </c>
      <c r="D138" s="101" t="s">
        <v>577</v>
      </c>
      <c r="E138" s="107"/>
      <c r="F138" s="101" t="s">
        <v>240</v>
      </c>
      <c r="G138" s="101">
        <v>2</v>
      </c>
      <c r="H138" s="101">
        <v>3</v>
      </c>
      <c r="I138" s="101">
        <v>4</v>
      </c>
      <c r="J138" s="101">
        <f t="shared" si="71"/>
        <v>9</v>
      </c>
      <c r="K138" s="101" t="str">
        <f t="shared" si="72"/>
        <v>High</v>
      </c>
      <c r="L138" s="101" t="str">
        <f t="shared" si="73"/>
        <v>Internal</v>
      </c>
      <c r="M138" s="101" t="s">
        <v>241</v>
      </c>
    </row>
    <row r="139" spans="1:13" ht="30" x14ac:dyDescent="0.2">
      <c r="A139" s="106"/>
      <c r="B139" s="101" t="s">
        <v>732</v>
      </c>
      <c r="C139" s="102" t="s">
        <v>602</v>
      </c>
      <c r="D139" s="101" t="s">
        <v>577</v>
      </c>
      <c r="E139" s="107"/>
      <c r="F139" s="101" t="s">
        <v>240</v>
      </c>
      <c r="G139" s="101">
        <v>2</v>
      </c>
      <c r="H139" s="101">
        <v>3</v>
      </c>
      <c r="I139" s="101">
        <v>4</v>
      </c>
      <c r="J139" s="101">
        <f t="shared" ref="J139" si="74">(G139+H139+I139)</f>
        <v>9</v>
      </c>
      <c r="K139" s="101" t="str">
        <f t="shared" ref="K139" si="75">IF(J139&lt;=4,"Low",IF(AND(J139&gt;4,J139&lt;=8),"Medium",IF(AND(J139&gt;8,J139&lt;=11),"High",IF(AND(J139&gt;11,J139&lt;=15),"Critical","Error"))))</f>
        <v>High</v>
      </c>
      <c r="L139" s="101" t="str">
        <f t="shared" ref="L139" si="76">IF(G139&lt;=1,"Public",IF(AND(G139&gt;1,G139&lt;=3),"Internal",IF(AND(G139&gt;3,G139&lt;=5),"Confidential","Error")))</f>
        <v>Internal</v>
      </c>
      <c r="M139" s="101" t="s">
        <v>241</v>
      </c>
    </row>
    <row r="140" spans="1:13" ht="30" x14ac:dyDescent="0.2">
      <c r="A140" s="106"/>
      <c r="B140" s="101" t="s">
        <v>736</v>
      </c>
      <c r="C140" s="102" t="s">
        <v>597</v>
      </c>
      <c r="D140" s="101" t="s">
        <v>595</v>
      </c>
      <c r="E140" s="107"/>
      <c r="F140" s="101" t="s">
        <v>240</v>
      </c>
      <c r="G140" s="101">
        <v>2</v>
      </c>
      <c r="H140" s="101">
        <v>3</v>
      </c>
      <c r="I140" s="101">
        <v>4</v>
      </c>
      <c r="J140" s="101">
        <f t="shared" si="65"/>
        <v>9</v>
      </c>
      <c r="K140" s="101" t="str">
        <f t="shared" si="66"/>
        <v>High</v>
      </c>
      <c r="L140" s="101" t="str">
        <f t="shared" si="67"/>
        <v>Internal</v>
      </c>
      <c r="M140" s="101" t="s">
        <v>241</v>
      </c>
    </row>
    <row r="141" spans="1:13" ht="30" x14ac:dyDescent="0.2">
      <c r="A141" s="106"/>
      <c r="B141" s="101" t="s">
        <v>736</v>
      </c>
      <c r="C141" s="102" t="s">
        <v>607</v>
      </c>
      <c r="D141" s="101" t="s">
        <v>241</v>
      </c>
      <c r="E141" s="107"/>
      <c r="F141" s="101" t="s">
        <v>240</v>
      </c>
      <c r="G141" s="101">
        <v>2</v>
      </c>
      <c r="H141" s="101">
        <v>3</v>
      </c>
      <c r="I141" s="101">
        <v>4</v>
      </c>
      <c r="J141" s="101">
        <f t="shared" ref="J141" si="77">(G141+H141+I141)</f>
        <v>9</v>
      </c>
      <c r="K141" s="101" t="str">
        <f t="shared" ref="K141" si="78">IF(J141&lt;=4,"Low",IF(AND(J141&gt;4,J141&lt;=8),"Medium",IF(AND(J141&gt;8,J141&lt;=11),"High",IF(AND(J141&gt;11,J141&lt;=15),"Critical","Error"))))</f>
        <v>High</v>
      </c>
      <c r="L141" s="101" t="str">
        <f t="shared" ref="L141" si="79">IF(G141&lt;=1,"Public",IF(AND(G141&gt;1,G141&lt;=3),"Internal",IF(AND(G141&gt;3,G141&lt;=5),"Confidential","Error")))</f>
        <v>Internal</v>
      </c>
      <c r="M141" s="101" t="s">
        <v>241</v>
      </c>
    </row>
    <row r="142" spans="1:13" ht="45" x14ac:dyDescent="0.2">
      <c r="A142" s="106"/>
      <c r="B142" s="101" t="s">
        <v>733</v>
      </c>
      <c r="C142" s="102" t="s">
        <v>520</v>
      </c>
      <c r="D142" s="101" t="s">
        <v>573</v>
      </c>
      <c r="E142" s="107"/>
      <c r="F142" s="101" t="s">
        <v>240</v>
      </c>
      <c r="G142" s="101">
        <v>2</v>
      </c>
      <c r="H142" s="101">
        <v>3</v>
      </c>
      <c r="I142" s="101">
        <v>4</v>
      </c>
      <c r="J142" s="101">
        <f t="shared" ref="J142" si="80">(G142+H142+I142)</f>
        <v>9</v>
      </c>
      <c r="K142" s="101" t="str">
        <f t="shared" ref="K142" si="81">IF(J142&lt;=4,"Low",IF(AND(J142&gt;4,J142&lt;=8),"Medium",IF(AND(J142&gt;8,J142&lt;=11),"High",IF(AND(J142&gt;11,J142&lt;=15),"Critical","Error"))))</f>
        <v>High</v>
      </c>
      <c r="L142" s="101" t="str">
        <f t="shared" ref="L142" si="82">IF(G142&lt;=1,"Public",IF(AND(G142&gt;1,G142&lt;=3),"Internal",IF(AND(G142&gt;3,G142&lt;=5),"Confidential","Error")))</f>
        <v>Internal</v>
      </c>
      <c r="M142" s="101" t="s">
        <v>241</v>
      </c>
    </row>
    <row r="143" spans="1:13" ht="45" x14ac:dyDescent="0.2">
      <c r="A143" s="106"/>
      <c r="B143" s="101" t="s">
        <v>733</v>
      </c>
      <c r="C143" s="102" t="s">
        <v>603</v>
      </c>
      <c r="D143" s="101" t="s">
        <v>241</v>
      </c>
      <c r="E143" s="107"/>
      <c r="F143" s="101" t="s">
        <v>240</v>
      </c>
      <c r="G143" s="101">
        <v>2</v>
      </c>
      <c r="H143" s="101">
        <v>3</v>
      </c>
      <c r="I143" s="101">
        <v>4</v>
      </c>
      <c r="J143" s="101">
        <f t="shared" ref="J143" si="83">(G143+H143+I143)</f>
        <v>9</v>
      </c>
      <c r="K143" s="101" t="str">
        <f t="shared" ref="K143" si="84">IF(J143&lt;=4,"Low",IF(AND(J143&gt;4,J143&lt;=8),"Medium",IF(AND(J143&gt;8,J143&lt;=11),"High",IF(AND(J143&gt;11,J143&lt;=15),"Critical","Error"))))</f>
        <v>High</v>
      </c>
      <c r="L143" s="101" t="str">
        <f t="shared" ref="L143" si="85">IF(G143&lt;=1,"Public",IF(AND(G143&gt;1,G143&lt;=3),"Internal",IF(AND(G143&gt;3,G143&lt;=5),"Confidential","Error")))</f>
        <v>Internal</v>
      </c>
      <c r="M143" s="101" t="s">
        <v>241</v>
      </c>
    </row>
    <row r="144" spans="1:13" ht="45" x14ac:dyDescent="0.2">
      <c r="A144" s="106"/>
      <c r="B144" s="101" t="s">
        <v>733</v>
      </c>
      <c r="C144" s="102" t="s">
        <v>511</v>
      </c>
      <c r="D144" s="101" t="s">
        <v>241</v>
      </c>
      <c r="E144" s="107"/>
      <c r="F144" s="101" t="s">
        <v>240</v>
      </c>
      <c r="G144" s="101">
        <v>2</v>
      </c>
      <c r="H144" s="101">
        <v>3</v>
      </c>
      <c r="I144" s="101">
        <v>4</v>
      </c>
      <c r="J144" s="101">
        <f t="shared" ref="J144:J147" si="86">(G144+H144+I144)</f>
        <v>9</v>
      </c>
      <c r="K144" s="101" t="str">
        <f t="shared" ref="K144:K147" si="87">IF(J144&lt;=4,"Low",IF(AND(J144&gt;4,J144&lt;=8),"Medium",IF(AND(J144&gt;8,J144&lt;=11),"High",IF(AND(J144&gt;11,J144&lt;=15),"Critical","Error"))))</f>
        <v>High</v>
      </c>
      <c r="L144" s="101" t="str">
        <f t="shared" si="55"/>
        <v>Internal</v>
      </c>
      <c r="M144" s="101" t="s">
        <v>241</v>
      </c>
    </row>
    <row r="145" spans="1:13" ht="45" x14ac:dyDescent="0.2">
      <c r="A145" s="106"/>
      <c r="B145" s="101" t="s">
        <v>733</v>
      </c>
      <c r="C145" s="102" t="s">
        <v>517</v>
      </c>
      <c r="D145" s="101" t="s">
        <v>241</v>
      </c>
      <c r="E145" s="107"/>
      <c r="F145" s="101" t="s">
        <v>240</v>
      </c>
      <c r="G145" s="101">
        <v>2</v>
      </c>
      <c r="H145" s="101">
        <v>3</v>
      </c>
      <c r="I145" s="101">
        <v>4</v>
      </c>
      <c r="J145" s="101">
        <f t="shared" si="86"/>
        <v>9</v>
      </c>
      <c r="K145" s="101" t="str">
        <f t="shared" si="87"/>
        <v>High</v>
      </c>
      <c r="L145" s="101" t="str">
        <f t="shared" si="55"/>
        <v>Internal</v>
      </c>
      <c r="M145" s="101" t="s">
        <v>241</v>
      </c>
    </row>
    <row r="146" spans="1:13" ht="45" x14ac:dyDescent="0.2">
      <c r="A146" s="106"/>
      <c r="B146" s="101" t="s">
        <v>733</v>
      </c>
      <c r="C146" s="102" t="s">
        <v>518</v>
      </c>
      <c r="D146" s="101" t="s">
        <v>241</v>
      </c>
      <c r="E146" s="107"/>
      <c r="F146" s="101" t="s">
        <v>240</v>
      </c>
      <c r="G146" s="101">
        <v>2</v>
      </c>
      <c r="H146" s="101">
        <v>3</v>
      </c>
      <c r="I146" s="101">
        <v>4</v>
      </c>
      <c r="J146" s="101">
        <f t="shared" si="86"/>
        <v>9</v>
      </c>
      <c r="K146" s="101" t="str">
        <f t="shared" si="87"/>
        <v>High</v>
      </c>
      <c r="L146" s="101" t="str">
        <f t="shared" si="55"/>
        <v>Internal</v>
      </c>
      <c r="M146" s="101" t="s">
        <v>241</v>
      </c>
    </row>
    <row r="147" spans="1:13" ht="45" x14ac:dyDescent="0.2">
      <c r="A147" s="106"/>
      <c r="B147" s="101" t="s">
        <v>733</v>
      </c>
      <c r="C147" s="102" t="s">
        <v>519</v>
      </c>
      <c r="D147" s="101" t="s">
        <v>241</v>
      </c>
      <c r="E147" s="107"/>
      <c r="F147" s="101" t="s">
        <v>240</v>
      </c>
      <c r="G147" s="101">
        <v>2</v>
      </c>
      <c r="H147" s="101">
        <v>3</v>
      </c>
      <c r="I147" s="101">
        <v>4</v>
      </c>
      <c r="J147" s="101">
        <f t="shared" si="86"/>
        <v>9</v>
      </c>
      <c r="K147" s="101" t="str">
        <f t="shared" si="87"/>
        <v>High</v>
      </c>
      <c r="L147" s="101" t="str">
        <f t="shared" si="55"/>
        <v>Internal</v>
      </c>
      <c r="M147" s="101" t="s">
        <v>241</v>
      </c>
    </row>
    <row r="148" spans="1:13" ht="30" x14ac:dyDescent="0.2">
      <c r="A148" s="106"/>
      <c r="B148" s="101" t="s">
        <v>736</v>
      </c>
      <c r="C148" s="102" t="s">
        <v>598</v>
      </c>
      <c r="D148" s="101" t="s">
        <v>241</v>
      </c>
      <c r="E148" s="107"/>
      <c r="F148" s="101" t="s">
        <v>240</v>
      </c>
      <c r="G148" s="101">
        <v>2</v>
      </c>
      <c r="H148" s="101">
        <v>3</v>
      </c>
      <c r="I148" s="101">
        <v>4</v>
      </c>
      <c r="J148" s="101">
        <f t="shared" ref="J148" si="88">(G148+H148+I148)</f>
        <v>9</v>
      </c>
      <c r="K148" s="101" t="str">
        <f t="shared" ref="K148" si="89">IF(J148&lt;=4,"Low",IF(AND(J148&gt;4,J148&lt;=8),"Medium",IF(AND(J148&gt;8,J148&lt;=11),"High",IF(AND(J148&gt;11,J148&lt;=15),"Critical","Error"))))</f>
        <v>High</v>
      </c>
      <c r="L148" s="101" t="str">
        <f t="shared" ref="L148" si="90">IF(G148&lt;=1,"Public",IF(AND(G148&gt;1,G148&lt;=3),"Internal",IF(AND(G148&gt;3,G148&lt;=5),"Confidential","Error")))</f>
        <v>Internal</v>
      </c>
      <c r="M148" s="101" t="s">
        <v>241</v>
      </c>
    </row>
    <row r="149" spans="1:13" ht="30" x14ac:dyDescent="0.2">
      <c r="A149" s="106"/>
      <c r="B149" s="101" t="s">
        <v>734</v>
      </c>
      <c r="C149" s="102" t="s">
        <v>521</v>
      </c>
      <c r="D149" s="101" t="s">
        <v>577</v>
      </c>
      <c r="E149" s="107"/>
      <c r="F149" s="101" t="s">
        <v>240</v>
      </c>
      <c r="G149" s="101">
        <v>2</v>
      </c>
      <c r="H149" s="101">
        <v>3</v>
      </c>
      <c r="I149" s="101">
        <v>4</v>
      </c>
      <c r="J149" s="101">
        <f t="shared" ref="J149" si="91">(G149+H149+I149)</f>
        <v>9</v>
      </c>
      <c r="K149" s="101" t="str">
        <f t="shared" ref="K149" si="92">IF(J149&lt;=4,"Low",IF(AND(J149&gt;4,J149&lt;=8),"Medium",IF(AND(J149&gt;8,J149&lt;=11),"High",IF(AND(J149&gt;11,J149&lt;=15),"Critical","Error"))))</f>
        <v>High</v>
      </c>
      <c r="L149" s="101" t="str">
        <f t="shared" ref="L149" si="93">IF(G149&lt;=1,"Public",IF(AND(G149&gt;1,G149&lt;=3),"Internal",IF(AND(G149&gt;3,G149&lt;=5),"Confidential","Error")))</f>
        <v>Internal</v>
      </c>
      <c r="M149" s="101" t="s">
        <v>241</v>
      </c>
    </row>
    <row r="150" spans="1:13" ht="30" x14ac:dyDescent="0.2">
      <c r="A150" s="106"/>
      <c r="B150" s="101" t="s">
        <v>734</v>
      </c>
      <c r="C150" s="102" t="s">
        <v>522</v>
      </c>
      <c r="D150" s="101" t="s">
        <v>578</v>
      </c>
      <c r="E150" s="107"/>
      <c r="F150" s="101" t="s">
        <v>240</v>
      </c>
      <c r="G150" s="101">
        <v>2</v>
      </c>
      <c r="H150" s="101">
        <v>3</v>
      </c>
      <c r="I150" s="101">
        <v>4</v>
      </c>
      <c r="J150" s="101">
        <f t="shared" ref="J150:J153" si="94">(G150+H150+I150)</f>
        <v>9</v>
      </c>
      <c r="K150" s="101" t="str">
        <f t="shared" ref="K150:K153" si="95">IF(J150&lt;=4,"Low",IF(AND(J150&gt;4,J150&lt;=8),"Medium",IF(AND(J150&gt;8,J150&lt;=11),"High",IF(AND(J150&gt;11,J150&lt;=15),"Critical","Error"))))</f>
        <v>High</v>
      </c>
      <c r="L150" s="101" t="str">
        <f t="shared" ref="L150:L153" si="96">IF(G150&lt;=1,"Public",IF(AND(G150&gt;1,G150&lt;=3),"Internal",IF(AND(G150&gt;3,G150&lt;=5),"Confidential","Error")))</f>
        <v>Internal</v>
      </c>
      <c r="M150" s="101" t="s">
        <v>241</v>
      </c>
    </row>
    <row r="151" spans="1:13" ht="30" x14ac:dyDescent="0.2">
      <c r="A151" s="106"/>
      <c r="B151" s="101" t="s">
        <v>736</v>
      </c>
      <c r="C151" s="102" t="s">
        <v>523</v>
      </c>
      <c r="D151" s="101" t="s">
        <v>579</v>
      </c>
      <c r="E151" s="107"/>
      <c r="F151" s="101" t="s">
        <v>240</v>
      </c>
      <c r="G151" s="101">
        <v>2</v>
      </c>
      <c r="H151" s="101">
        <v>3</v>
      </c>
      <c r="I151" s="101">
        <v>4</v>
      </c>
      <c r="J151" s="101">
        <f t="shared" si="94"/>
        <v>9</v>
      </c>
      <c r="K151" s="101" t="str">
        <f t="shared" si="95"/>
        <v>High</v>
      </c>
      <c r="L151" s="101" t="str">
        <f t="shared" si="96"/>
        <v>Internal</v>
      </c>
      <c r="M151" s="101" t="s">
        <v>241</v>
      </c>
    </row>
    <row r="152" spans="1:13" ht="30" x14ac:dyDescent="0.2">
      <c r="A152" s="106"/>
      <c r="B152" s="101" t="s">
        <v>734</v>
      </c>
      <c r="C152" s="102" t="s">
        <v>524</v>
      </c>
      <c r="D152" s="101" t="s">
        <v>573</v>
      </c>
      <c r="E152" s="107"/>
      <c r="F152" s="101" t="s">
        <v>240</v>
      </c>
      <c r="G152" s="101">
        <v>2</v>
      </c>
      <c r="H152" s="101">
        <v>3</v>
      </c>
      <c r="I152" s="101">
        <v>4</v>
      </c>
      <c r="J152" s="101">
        <f t="shared" si="94"/>
        <v>9</v>
      </c>
      <c r="K152" s="101" t="str">
        <f t="shared" si="95"/>
        <v>High</v>
      </c>
      <c r="L152" s="101" t="str">
        <f t="shared" si="96"/>
        <v>Internal</v>
      </c>
      <c r="M152" s="101" t="s">
        <v>241</v>
      </c>
    </row>
    <row r="153" spans="1:13" ht="30" x14ac:dyDescent="0.2">
      <c r="A153" s="106"/>
      <c r="B153" s="101" t="s">
        <v>734</v>
      </c>
      <c r="C153" s="102" t="s">
        <v>525</v>
      </c>
      <c r="D153" s="101" t="s">
        <v>580</v>
      </c>
      <c r="E153" s="107"/>
      <c r="F153" s="101" t="s">
        <v>240</v>
      </c>
      <c r="G153" s="101">
        <v>2</v>
      </c>
      <c r="H153" s="101">
        <v>3</v>
      </c>
      <c r="I153" s="101">
        <v>4</v>
      </c>
      <c r="J153" s="101">
        <f t="shared" si="94"/>
        <v>9</v>
      </c>
      <c r="K153" s="101" t="str">
        <f t="shared" si="95"/>
        <v>High</v>
      </c>
      <c r="L153" s="101" t="str">
        <f t="shared" si="96"/>
        <v>Internal</v>
      </c>
      <c r="M153" s="101" t="s">
        <v>241</v>
      </c>
    </row>
    <row r="154" spans="1:13" ht="30" x14ac:dyDescent="0.2">
      <c r="A154" s="106"/>
      <c r="B154" s="101" t="s">
        <v>735</v>
      </c>
      <c r="C154" s="102" t="s">
        <v>526</v>
      </c>
      <c r="D154" s="101" t="s">
        <v>581</v>
      </c>
      <c r="E154" s="107"/>
      <c r="F154" s="101" t="s">
        <v>240</v>
      </c>
      <c r="G154" s="101">
        <v>2</v>
      </c>
      <c r="H154" s="101">
        <v>3</v>
      </c>
      <c r="I154" s="101">
        <v>4</v>
      </c>
      <c r="J154" s="101">
        <f t="shared" ref="J154" si="97">(G154+H154+I154)</f>
        <v>9</v>
      </c>
      <c r="K154" s="101" t="str">
        <f t="shared" ref="K154" si="98">IF(J154&lt;=4,"Low",IF(AND(J154&gt;4,J154&lt;=8),"Medium",IF(AND(J154&gt;8,J154&lt;=11),"High",IF(AND(J154&gt;11,J154&lt;=15),"Critical","Error"))))</f>
        <v>High</v>
      </c>
      <c r="L154" s="101" t="str">
        <f t="shared" ref="L154" si="99">IF(G154&lt;=1,"Public",IF(AND(G154&gt;1,G154&lt;=3),"Internal",IF(AND(G154&gt;3,G154&lt;=5),"Confidential","Error")))</f>
        <v>Internal</v>
      </c>
      <c r="M154" s="101" t="s">
        <v>241</v>
      </c>
    </row>
    <row r="155" spans="1:13" ht="30" x14ac:dyDescent="0.2">
      <c r="A155" s="106"/>
      <c r="B155" s="101" t="s">
        <v>736</v>
      </c>
      <c r="C155" s="102" t="s">
        <v>604</v>
      </c>
      <c r="D155" s="101" t="s">
        <v>582</v>
      </c>
      <c r="E155" s="107"/>
      <c r="F155" s="101" t="s">
        <v>240</v>
      </c>
      <c r="G155" s="101">
        <v>2</v>
      </c>
      <c r="H155" s="101">
        <v>3</v>
      </c>
      <c r="I155" s="101">
        <v>4</v>
      </c>
      <c r="J155" s="101">
        <f t="shared" ref="J155" si="100">(G155+H155+I155)</f>
        <v>9</v>
      </c>
      <c r="K155" s="101" t="str">
        <f t="shared" ref="K155" si="101">IF(J155&lt;=4,"Low",IF(AND(J155&gt;4,J155&lt;=8),"Medium",IF(AND(J155&gt;8,J155&lt;=11),"High",IF(AND(J155&gt;11,J155&lt;=15),"Critical","Error"))))</f>
        <v>High</v>
      </c>
      <c r="L155" s="101" t="str">
        <f t="shared" ref="L155" si="102">IF(G155&lt;=1,"Public",IF(AND(G155&gt;1,G155&lt;=3),"Internal",IF(AND(G155&gt;3,G155&lt;=5),"Confidential","Error")))</f>
        <v>Internal</v>
      </c>
      <c r="M155" s="101" t="s">
        <v>241</v>
      </c>
    </row>
    <row r="156" spans="1:13" ht="30" x14ac:dyDescent="0.2">
      <c r="A156" s="106"/>
      <c r="B156" s="101" t="s">
        <v>736</v>
      </c>
      <c r="C156" s="102" t="s">
        <v>165</v>
      </c>
      <c r="D156" s="101" t="s">
        <v>241</v>
      </c>
      <c r="E156" s="107"/>
      <c r="F156" s="101" t="s">
        <v>240</v>
      </c>
      <c r="G156" s="101">
        <v>5</v>
      </c>
      <c r="H156" s="101">
        <v>4</v>
      </c>
      <c r="I156" s="101">
        <v>5</v>
      </c>
      <c r="J156" s="101">
        <f>(G156+H156+I156)</f>
        <v>14</v>
      </c>
      <c r="K156" s="101" t="str">
        <f>IF(J156&lt;=4,"Low",IF(AND(J156&gt;4,J156&lt;=8),"Medium",IF(AND(J156&gt;8,J156&lt;=11),"High",IF(AND(J156&gt;11,J156&lt;=15),"Critical","Error"))))</f>
        <v>Critical</v>
      </c>
      <c r="L156" s="101" t="str">
        <f>IF(G156&lt;=1,"Public",IF(AND(G156&gt;1,G156&lt;=3),"Internal",IF(AND(G156&gt;3,G156&lt;=5),"Confidential","Error")))</f>
        <v>Confidential</v>
      </c>
      <c r="M156" s="101" t="s">
        <v>241</v>
      </c>
    </row>
    <row r="157" spans="1:13" ht="30" x14ac:dyDescent="0.2">
      <c r="A157" s="106"/>
      <c r="B157" s="101" t="s">
        <v>736</v>
      </c>
      <c r="C157" s="102" t="s">
        <v>610</v>
      </c>
      <c r="D157" s="101" t="s">
        <v>241</v>
      </c>
      <c r="E157" s="107"/>
      <c r="F157" s="101" t="s">
        <v>240</v>
      </c>
      <c r="G157" s="101">
        <v>2</v>
      </c>
      <c r="H157" s="101">
        <v>3</v>
      </c>
      <c r="I157" s="101">
        <v>4</v>
      </c>
      <c r="J157" s="101">
        <f t="shared" ref="J157" si="103">(G157+H157+I157)</f>
        <v>9</v>
      </c>
      <c r="K157" s="101" t="str">
        <f t="shared" ref="K157" si="104">IF(J157&lt;=4,"Low",IF(AND(J157&gt;4,J157&lt;=8),"Medium",IF(AND(J157&gt;8,J157&lt;=11),"High",IF(AND(J157&gt;11,J157&lt;=15),"Critical","Error"))))</f>
        <v>High</v>
      </c>
      <c r="L157" s="101" t="str">
        <f t="shared" ref="L157" si="105">IF(G157&lt;=1,"Public",IF(AND(G157&gt;1,G157&lt;=3),"Internal",IF(AND(G157&gt;3,G157&lt;=5),"Confidential","Error")))</f>
        <v>Internal</v>
      </c>
      <c r="M157" s="101" t="s">
        <v>241</v>
      </c>
    </row>
    <row r="158" spans="1:13" ht="30" x14ac:dyDescent="0.2">
      <c r="A158" s="106"/>
      <c r="B158" s="101" t="s">
        <v>736</v>
      </c>
      <c r="C158" s="102" t="s">
        <v>605</v>
      </c>
      <c r="D158" s="101" t="s">
        <v>241</v>
      </c>
      <c r="E158" s="107"/>
      <c r="F158" s="101" t="s">
        <v>240</v>
      </c>
      <c r="G158" s="101">
        <v>4</v>
      </c>
      <c r="H158" s="101">
        <v>4</v>
      </c>
      <c r="I158" s="101">
        <v>4</v>
      </c>
      <c r="J158" s="101">
        <f t="shared" ref="J158:J164" si="106">(G158+H158+I158)</f>
        <v>12</v>
      </c>
      <c r="K158" s="101" t="str">
        <f t="shared" ref="K158:K164" si="107">IF(J158&lt;=4,"Low",IF(AND(J158&gt;4,J158&lt;=8),"Medium",IF(AND(J158&gt;8,J158&lt;=11),"High",IF(AND(J158&gt;11,J158&lt;=15),"Critical","Error"))))</f>
        <v>Critical</v>
      </c>
      <c r="L158" s="101" t="str">
        <f t="shared" ref="L158:L164" si="108">IF(G158&lt;=1,"Public",IF(AND(G158&gt;1,G158&lt;=3),"Internal",IF(AND(G158&gt;3,G158&lt;=5),"Confidential","Error")))</f>
        <v>Confidential</v>
      </c>
      <c r="M158" s="101" t="s">
        <v>241</v>
      </c>
    </row>
    <row r="159" spans="1:13" ht="30" x14ac:dyDescent="0.2">
      <c r="A159" s="106"/>
      <c r="B159" s="101" t="s">
        <v>736</v>
      </c>
      <c r="C159" s="102" t="s">
        <v>65</v>
      </c>
      <c r="D159" s="101" t="s">
        <v>241</v>
      </c>
      <c r="E159" s="107"/>
      <c r="F159" s="101" t="s">
        <v>240</v>
      </c>
      <c r="G159" s="101">
        <v>5</v>
      </c>
      <c r="H159" s="101">
        <v>3</v>
      </c>
      <c r="I159" s="101">
        <v>5</v>
      </c>
      <c r="J159" s="101">
        <f t="shared" si="106"/>
        <v>13</v>
      </c>
      <c r="K159" s="101" t="str">
        <f t="shared" si="107"/>
        <v>Critical</v>
      </c>
      <c r="L159" s="101" t="str">
        <f t="shared" si="108"/>
        <v>Confidential</v>
      </c>
      <c r="M159" s="101" t="s">
        <v>241</v>
      </c>
    </row>
    <row r="160" spans="1:13" ht="30" x14ac:dyDescent="0.2">
      <c r="A160" s="106"/>
      <c r="B160" s="101" t="s">
        <v>557</v>
      </c>
      <c r="C160" s="102" t="s">
        <v>72</v>
      </c>
      <c r="D160" s="101" t="s">
        <v>241</v>
      </c>
      <c r="E160" s="107"/>
      <c r="F160" s="101" t="s">
        <v>240</v>
      </c>
      <c r="G160" s="101">
        <v>4</v>
      </c>
      <c r="H160" s="101">
        <v>3</v>
      </c>
      <c r="I160" s="101">
        <v>4</v>
      </c>
      <c r="J160" s="101">
        <f t="shared" si="106"/>
        <v>11</v>
      </c>
      <c r="K160" s="101" t="str">
        <f t="shared" si="107"/>
        <v>High</v>
      </c>
      <c r="L160" s="101" t="str">
        <f t="shared" si="108"/>
        <v>Confidential</v>
      </c>
      <c r="M160" s="101" t="s">
        <v>241</v>
      </c>
    </row>
    <row r="161" spans="1:13" ht="30" x14ac:dyDescent="0.2">
      <c r="A161" s="106"/>
      <c r="B161" s="101" t="s">
        <v>736</v>
      </c>
      <c r="C161" s="102" t="s">
        <v>614</v>
      </c>
      <c r="D161" s="101" t="s">
        <v>241</v>
      </c>
      <c r="E161" s="107"/>
      <c r="F161" s="101" t="s">
        <v>240</v>
      </c>
      <c r="G161" s="101">
        <v>4</v>
      </c>
      <c r="H161" s="101">
        <v>3</v>
      </c>
      <c r="I161" s="101">
        <v>4</v>
      </c>
      <c r="J161" s="101">
        <f t="shared" si="106"/>
        <v>11</v>
      </c>
      <c r="K161" s="101" t="str">
        <f t="shared" si="107"/>
        <v>High</v>
      </c>
      <c r="L161" s="101" t="str">
        <f t="shared" si="108"/>
        <v>Confidential</v>
      </c>
      <c r="M161" s="101" t="s">
        <v>241</v>
      </c>
    </row>
    <row r="162" spans="1:13" ht="30" x14ac:dyDescent="0.2">
      <c r="A162" s="106"/>
      <c r="B162" s="101" t="s">
        <v>736</v>
      </c>
      <c r="C162" s="102" t="s">
        <v>292</v>
      </c>
      <c r="D162" s="101" t="s">
        <v>241</v>
      </c>
      <c r="E162" s="107"/>
      <c r="F162" s="101" t="s">
        <v>240</v>
      </c>
      <c r="G162" s="101">
        <v>4</v>
      </c>
      <c r="H162" s="101">
        <v>3</v>
      </c>
      <c r="I162" s="101">
        <v>4</v>
      </c>
      <c r="J162" s="101">
        <f t="shared" si="106"/>
        <v>11</v>
      </c>
      <c r="K162" s="101" t="str">
        <f t="shared" si="107"/>
        <v>High</v>
      </c>
      <c r="L162" s="101" t="str">
        <f t="shared" si="108"/>
        <v>Confidential</v>
      </c>
      <c r="M162" s="101" t="s">
        <v>241</v>
      </c>
    </row>
    <row r="163" spans="1:13" ht="30" x14ac:dyDescent="0.2">
      <c r="A163" s="106"/>
      <c r="B163" s="101" t="s">
        <v>736</v>
      </c>
      <c r="C163" s="102" t="s">
        <v>527</v>
      </c>
      <c r="D163" s="101" t="s">
        <v>241</v>
      </c>
      <c r="E163" s="107"/>
      <c r="F163" s="101" t="s">
        <v>240</v>
      </c>
      <c r="G163" s="101">
        <v>4</v>
      </c>
      <c r="H163" s="101">
        <v>3</v>
      </c>
      <c r="I163" s="101">
        <v>4</v>
      </c>
      <c r="J163" s="101">
        <f t="shared" si="106"/>
        <v>11</v>
      </c>
      <c r="K163" s="101" t="str">
        <f t="shared" si="107"/>
        <v>High</v>
      </c>
      <c r="L163" s="101" t="str">
        <f t="shared" si="108"/>
        <v>Confidential</v>
      </c>
      <c r="M163" s="101" t="s">
        <v>241</v>
      </c>
    </row>
    <row r="164" spans="1:13" ht="30" x14ac:dyDescent="0.2">
      <c r="A164" s="106"/>
      <c r="B164" s="101" t="s">
        <v>736</v>
      </c>
      <c r="C164" s="102" t="s">
        <v>222</v>
      </c>
      <c r="D164" s="101" t="s">
        <v>241</v>
      </c>
      <c r="E164" s="107"/>
      <c r="F164" s="101" t="s">
        <v>240</v>
      </c>
      <c r="G164" s="101">
        <v>4</v>
      </c>
      <c r="H164" s="101">
        <v>3</v>
      </c>
      <c r="I164" s="101">
        <v>4</v>
      </c>
      <c r="J164" s="101">
        <f t="shared" si="106"/>
        <v>11</v>
      </c>
      <c r="K164" s="101" t="str">
        <f t="shared" si="107"/>
        <v>High</v>
      </c>
      <c r="L164" s="101" t="str">
        <f t="shared" si="108"/>
        <v>Confidential</v>
      </c>
      <c r="M164" s="101" t="s">
        <v>241</v>
      </c>
    </row>
    <row r="165" spans="1:13" ht="15" x14ac:dyDescent="0.2">
      <c r="A165" s="106"/>
      <c r="B165" s="101" t="s">
        <v>168</v>
      </c>
      <c r="C165" s="102" t="s">
        <v>168</v>
      </c>
      <c r="D165" s="101">
        <v>52</v>
      </c>
      <c r="E165" s="107"/>
      <c r="F165" s="101" t="s">
        <v>240</v>
      </c>
      <c r="G165" s="101">
        <v>4</v>
      </c>
      <c r="H165" s="101">
        <v>3</v>
      </c>
      <c r="I165" s="101">
        <v>4</v>
      </c>
      <c r="J165" s="101">
        <f t="shared" ref="J165:J223" si="109">(G165+H165+I165)</f>
        <v>11</v>
      </c>
      <c r="K165" s="101" t="str">
        <f t="shared" ref="K165:K225" si="110">IF(J165&lt;=4,"Low",IF(AND(J165&gt;4,J165&lt;=8),"Medium",IF(AND(J165&gt;8,J165&lt;=11),"High",IF(AND(J165&gt;11,J165&lt;=15),"Critical","Error"))))</f>
        <v>High</v>
      </c>
      <c r="L165" s="101" t="str">
        <f t="shared" ref="L165:L222" si="111">IF(G165&lt;=1,"Public",IF(AND(G165&gt;1,G165&lt;=3),"Internal",IF(AND(G165&gt;3,G165&lt;=5),"Confidential","Error")))</f>
        <v>Confidential</v>
      </c>
      <c r="M165" s="101" t="s">
        <v>241</v>
      </c>
    </row>
    <row r="166" spans="1:13" ht="15" x14ac:dyDescent="0.2">
      <c r="A166" s="206">
        <v>16</v>
      </c>
      <c r="B166" s="101" t="s">
        <v>737</v>
      </c>
      <c r="C166" s="102" t="s">
        <v>372</v>
      </c>
      <c r="D166" s="101" t="s">
        <v>241</v>
      </c>
      <c r="E166" s="86" t="s">
        <v>373</v>
      </c>
      <c r="F166" s="101" t="s">
        <v>240</v>
      </c>
      <c r="G166" s="77">
        <v>1</v>
      </c>
      <c r="H166" s="77">
        <v>4</v>
      </c>
      <c r="I166" s="77">
        <v>4</v>
      </c>
      <c r="J166" s="101">
        <f t="shared" si="109"/>
        <v>9</v>
      </c>
      <c r="K166" s="101" t="str">
        <f t="shared" si="110"/>
        <v>High</v>
      </c>
      <c r="L166" s="101" t="str">
        <f t="shared" si="111"/>
        <v>Public</v>
      </c>
      <c r="M166" s="101" t="s">
        <v>241</v>
      </c>
    </row>
    <row r="167" spans="1:13" ht="15" x14ac:dyDescent="0.2">
      <c r="A167" s="206"/>
      <c r="B167" s="101" t="s">
        <v>737</v>
      </c>
      <c r="C167" s="102" t="s">
        <v>374</v>
      </c>
      <c r="D167" s="101" t="s">
        <v>241</v>
      </c>
      <c r="E167" s="86" t="s">
        <v>375</v>
      </c>
      <c r="F167" s="101" t="s">
        <v>240</v>
      </c>
      <c r="G167" s="77">
        <v>1</v>
      </c>
      <c r="H167" s="77">
        <v>2</v>
      </c>
      <c r="I167" s="77">
        <v>2</v>
      </c>
      <c r="J167" s="101">
        <f t="shared" si="109"/>
        <v>5</v>
      </c>
      <c r="K167" s="101" t="str">
        <f t="shared" si="110"/>
        <v>Medium</v>
      </c>
      <c r="L167" s="101" t="str">
        <f t="shared" si="111"/>
        <v>Public</v>
      </c>
      <c r="M167" s="101" t="s">
        <v>241</v>
      </c>
    </row>
    <row r="168" spans="1:13" ht="15" x14ac:dyDescent="0.2">
      <c r="A168" s="206"/>
      <c r="B168" s="101" t="s">
        <v>737</v>
      </c>
      <c r="C168" s="102" t="s">
        <v>376</v>
      </c>
      <c r="D168" s="101" t="s">
        <v>241</v>
      </c>
      <c r="E168" s="86" t="s">
        <v>375</v>
      </c>
      <c r="F168" s="101" t="s">
        <v>240</v>
      </c>
      <c r="G168" s="77">
        <v>2</v>
      </c>
      <c r="H168" s="77">
        <v>3</v>
      </c>
      <c r="I168" s="77">
        <v>3</v>
      </c>
      <c r="J168" s="101">
        <f t="shared" si="109"/>
        <v>8</v>
      </c>
      <c r="K168" s="101" t="str">
        <f t="shared" si="110"/>
        <v>Medium</v>
      </c>
      <c r="L168" s="101" t="str">
        <f t="shared" si="111"/>
        <v>Internal</v>
      </c>
      <c r="M168" s="101" t="s">
        <v>241</v>
      </c>
    </row>
    <row r="169" spans="1:13" ht="15" x14ac:dyDescent="0.2">
      <c r="A169" s="206"/>
      <c r="B169" s="101" t="s">
        <v>737</v>
      </c>
      <c r="C169" s="102" t="s">
        <v>377</v>
      </c>
      <c r="D169" s="101" t="s">
        <v>241</v>
      </c>
      <c r="E169" s="86" t="s">
        <v>378</v>
      </c>
      <c r="F169" s="101" t="s">
        <v>240</v>
      </c>
      <c r="G169" s="77">
        <v>4</v>
      </c>
      <c r="H169" s="77">
        <v>3</v>
      </c>
      <c r="I169" s="77">
        <v>4</v>
      </c>
      <c r="J169" s="101">
        <f t="shared" si="109"/>
        <v>11</v>
      </c>
      <c r="K169" s="101" t="str">
        <f t="shared" si="110"/>
        <v>High</v>
      </c>
      <c r="L169" s="101" t="str">
        <f t="shared" si="111"/>
        <v>Confidential</v>
      </c>
      <c r="M169" s="101" t="s">
        <v>241</v>
      </c>
    </row>
    <row r="170" spans="1:13" ht="15" x14ac:dyDescent="0.2">
      <c r="A170" s="206"/>
      <c r="B170" s="101" t="s">
        <v>737</v>
      </c>
      <c r="C170" s="102" t="s">
        <v>379</v>
      </c>
      <c r="D170" s="101" t="s">
        <v>241</v>
      </c>
      <c r="E170" s="86" t="s">
        <v>380</v>
      </c>
      <c r="F170" s="101" t="s">
        <v>240</v>
      </c>
      <c r="G170" s="77">
        <v>2</v>
      </c>
      <c r="H170" s="77">
        <v>2</v>
      </c>
      <c r="I170" s="77">
        <v>3</v>
      </c>
      <c r="J170" s="101">
        <f t="shared" si="109"/>
        <v>7</v>
      </c>
      <c r="K170" s="101" t="str">
        <f t="shared" si="110"/>
        <v>Medium</v>
      </c>
      <c r="L170" s="101" t="str">
        <f t="shared" si="111"/>
        <v>Internal</v>
      </c>
      <c r="M170" s="101" t="s">
        <v>241</v>
      </c>
    </row>
    <row r="171" spans="1:13" ht="15" x14ac:dyDescent="0.2">
      <c r="A171" s="206"/>
      <c r="B171" s="101" t="s">
        <v>737</v>
      </c>
      <c r="C171" s="102" t="s">
        <v>381</v>
      </c>
      <c r="D171" s="101" t="s">
        <v>241</v>
      </c>
      <c r="E171" s="86" t="s">
        <v>375</v>
      </c>
      <c r="F171" s="101" t="s">
        <v>240</v>
      </c>
      <c r="G171" s="108">
        <v>1</v>
      </c>
      <c r="H171" s="108">
        <v>1</v>
      </c>
      <c r="I171" s="108">
        <v>1</v>
      </c>
      <c r="J171" s="101">
        <f t="shared" si="109"/>
        <v>3</v>
      </c>
      <c r="K171" s="101" t="str">
        <f t="shared" si="110"/>
        <v>Low</v>
      </c>
      <c r="L171" s="101" t="str">
        <f t="shared" si="111"/>
        <v>Public</v>
      </c>
      <c r="M171" s="101" t="s">
        <v>241</v>
      </c>
    </row>
    <row r="172" spans="1:13" ht="15" x14ac:dyDescent="0.2">
      <c r="A172" s="206"/>
      <c r="B172" s="101" t="s">
        <v>737</v>
      </c>
      <c r="C172" s="102" t="s">
        <v>382</v>
      </c>
      <c r="D172" s="101" t="s">
        <v>241</v>
      </c>
      <c r="E172" s="86" t="s">
        <v>378</v>
      </c>
      <c r="F172" s="101" t="s">
        <v>240</v>
      </c>
      <c r="G172" s="108">
        <v>1</v>
      </c>
      <c r="H172" s="108">
        <v>1</v>
      </c>
      <c r="I172" s="108">
        <v>1</v>
      </c>
      <c r="J172" s="101">
        <f t="shared" si="109"/>
        <v>3</v>
      </c>
      <c r="K172" s="101" t="str">
        <f t="shared" si="110"/>
        <v>Low</v>
      </c>
      <c r="L172" s="101" t="str">
        <f t="shared" si="111"/>
        <v>Public</v>
      </c>
      <c r="M172" s="101" t="s">
        <v>241</v>
      </c>
    </row>
    <row r="173" spans="1:13" ht="15" x14ac:dyDescent="0.2">
      <c r="A173" s="206"/>
      <c r="B173" s="101" t="s">
        <v>737</v>
      </c>
      <c r="C173" s="102" t="s">
        <v>383</v>
      </c>
      <c r="D173" s="101" t="s">
        <v>241</v>
      </c>
      <c r="E173" s="86" t="s">
        <v>373</v>
      </c>
      <c r="F173" s="101" t="s">
        <v>240</v>
      </c>
      <c r="G173" s="77">
        <v>1</v>
      </c>
      <c r="H173" s="77">
        <v>2</v>
      </c>
      <c r="I173" s="77">
        <v>3</v>
      </c>
      <c r="J173" s="101">
        <f t="shared" si="109"/>
        <v>6</v>
      </c>
      <c r="K173" s="101" t="str">
        <f t="shared" si="110"/>
        <v>Medium</v>
      </c>
      <c r="L173" s="101" t="str">
        <f t="shared" si="111"/>
        <v>Public</v>
      </c>
      <c r="M173" s="101" t="s">
        <v>241</v>
      </c>
    </row>
    <row r="174" spans="1:13" ht="15" x14ac:dyDescent="0.2">
      <c r="A174" s="206"/>
      <c r="B174" s="101" t="s">
        <v>737</v>
      </c>
      <c r="C174" s="102" t="s">
        <v>384</v>
      </c>
      <c r="D174" s="101" t="s">
        <v>241</v>
      </c>
      <c r="E174" s="86" t="s">
        <v>385</v>
      </c>
      <c r="F174" s="101" t="s">
        <v>240</v>
      </c>
      <c r="G174" s="108">
        <v>4</v>
      </c>
      <c r="H174" s="108">
        <v>3</v>
      </c>
      <c r="I174" s="108">
        <v>3</v>
      </c>
      <c r="J174" s="101">
        <f t="shared" si="109"/>
        <v>10</v>
      </c>
      <c r="K174" s="101" t="str">
        <f t="shared" si="110"/>
        <v>High</v>
      </c>
      <c r="L174" s="101" t="str">
        <f t="shared" si="111"/>
        <v>Confidential</v>
      </c>
      <c r="M174" s="101" t="s">
        <v>241</v>
      </c>
    </row>
    <row r="175" spans="1:13" ht="15" x14ac:dyDescent="0.2">
      <c r="A175" s="206"/>
      <c r="B175" s="101" t="s">
        <v>737</v>
      </c>
      <c r="C175" s="102" t="s">
        <v>386</v>
      </c>
      <c r="D175" s="101" t="s">
        <v>241</v>
      </c>
      <c r="E175" s="86" t="s">
        <v>387</v>
      </c>
      <c r="F175" s="101" t="s">
        <v>240</v>
      </c>
      <c r="G175" s="77">
        <v>1</v>
      </c>
      <c r="H175" s="77">
        <v>3</v>
      </c>
      <c r="I175" s="77">
        <v>3</v>
      </c>
      <c r="J175" s="101">
        <f t="shared" si="109"/>
        <v>7</v>
      </c>
      <c r="K175" s="101" t="str">
        <f t="shared" si="110"/>
        <v>Medium</v>
      </c>
      <c r="L175" s="101" t="str">
        <f t="shared" si="111"/>
        <v>Public</v>
      </c>
      <c r="M175" s="101" t="s">
        <v>241</v>
      </c>
    </row>
    <row r="176" spans="1:13" ht="15" x14ac:dyDescent="0.2">
      <c r="A176" s="206"/>
      <c r="B176" s="101" t="s">
        <v>737</v>
      </c>
      <c r="C176" s="102" t="s">
        <v>388</v>
      </c>
      <c r="D176" s="101" t="s">
        <v>241</v>
      </c>
      <c r="E176" s="86" t="s">
        <v>387</v>
      </c>
      <c r="F176" s="101" t="s">
        <v>240</v>
      </c>
      <c r="G176" s="77">
        <v>1</v>
      </c>
      <c r="H176" s="77">
        <v>1</v>
      </c>
      <c r="I176" s="77">
        <v>1</v>
      </c>
      <c r="J176" s="101">
        <f t="shared" si="109"/>
        <v>3</v>
      </c>
      <c r="K176" s="101" t="str">
        <f t="shared" si="110"/>
        <v>Low</v>
      </c>
      <c r="L176" s="101" t="str">
        <f t="shared" si="111"/>
        <v>Public</v>
      </c>
      <c r="M176" s="101" t="s">
        <v>241</v>
      </c>
    </row>
    <row r="177" spans="1:13" ht="15" x14ac:dyDescent="0.2">
      <c r="A177" s="206"/>
      <c r="B177" s="101" t="s">
        <v>737</v>
      </c>
      <c r="C177" s="102" t="s">
        <v>389</v>
      </c>
      <c r="D177" s="101" t="s">
        <v>241</v>
      </c>
      <c r="E177" s="86" t="s">
        <v>387</v>
      </c>
      <c r="F177" s="101" t="s">
        <v>240</v>
      </c>
      <c r="G177" s="77">
        <v>3</v>
      </c>
      <c r="H177" s="77">
        <v>3</v>
      </c>
      <c r="I177" s="77">
        <v>3</v>
      </c>
      <c r="J177" s="101">
        <f t="shared" si="109"/>
        <v>9</v>
      </c>
      <c r="K177" s="101" t="str">
        <f t="shared" si="110"/>
        <v>High</v>
      </c>
      <c r="L177" s="101" t="str">
        <f t="shared" si="111"/>
        <v>Internal</v>
      </c>
      <c r="M177" s="101" t="s">
        <v>241</v>
      </c>
    </row>
    <row r="178" spans="1:13" ht="15" x14ac:dyDescent="0.2">
      <c r="A178" s="206"/>
      <c r="B178" s="101" t="s">
        <v>737</v>
      </c>
      <c r="C178" s="102" t="s">
        <v>390</v>
      </c>
      <c r="D178" s="101" t="s">
        <v>241</v>
      </c>
      <c r="E178" s="86" t="s">
        <v>387</v>
      </c>
      <c r="F178" s="101" t="s">
        <v>240</v>
      </c>
      <c r="G178" s="77">
        <v>3</v>
      </c>
      <c r="H178" s="77">
        <v>3</v>
      </c>
      <c r="I178" s="77">
        <v>4</v>
      </c>
      <c r="J178" s="101">
        <f t="shared" si="109"/>
        <v>10</v>
      </c>
      <c r="K178" s="101" t="str">
        <f t="shared" si="110"/>
        <v>High</v>
      </c>
      <c r="L178" s="101" t="str">
        <f t="shared" si="111"/>
        <v>Internal</v>
      </c>
      <c r="M178" s="101" t="s">
        <v>241</v>
      </c>
    </row>
    <row r="179" spans="1:13" ht="15" x14ac:dyDescent="0.2">
      <c r="A179" s="206"/>
      <c r="B179" s="101" t="s">
        <v>737</v>
      </c>
      <c r="C179" s="102" t="s">
        <v>391</v>
      </c>
      <c r="D179" s="101" t="s">
        <v>241</v>
      </c>
      <c r="E179" s="86" t="s">
        <v>392</v>
      </c>
      <c r="F179" s="101" t="s">
        <v>240</v>
      </c>
      <c r="G179" s="77">
        <v>4</v>
      </c>
      <c r="H179" s="77">
        <v>3</v>
      </c>
      <c r="I179" s="77">
        <v>4</v>
      </c>
      <c r="J179" s="101">
        <f t="shared" si="109"/>
        <v>11</v>
      </c>
      <c r="K179" s="101" t="str">
        <f t="shared" si="110"/>
        <v>High</v>
      </c>
      <c r="L179" s="101" t="str">
        <f t="shared" si="111"/>
        <v>Confidential</v>
      </c>
      <c r="M179" s="101" t="s">
        <v>241</v>
      </c>
    </row>
    <row r="180" spans="1:13" ht="15" x14ac:dyDescent="0.2">
      <c r="A180" s="206"/>
      <c r="B180" s="101" t="s">
        <v>737</v>
      </c>
      <c r="C180" s="102" t="s">
        <v>393</v>
      </c>
      <c r="D180" s="101" t="s">
        <v>241</v>
      </c>
      <c r="E180" s="86" t="s">
        <v>385</v>
      </c>
      <c r="F180" s="101" t="s">
        <v>240</v>
      </c>
      <c r="G180" s="108">
        <v>4</v>
      </c>
      <c r="H180" s="108">
        <v>3</v>
      </c>
      <c r="I180" s="108">
        <v>2</v>
      </c>
      <c r="J180" s="101">
        <f t="shared" si="109"/>
        <v>9</v>
      </c>
      <c r="K180" s="101" t="str">
        <f t="shared" si="110"/>
        <v>High</v>
      </c>
      <c r="L180" s="101" t="str">
        <f t="shared" si="111"/>
        <v>Confidential</v>
      </c>
      <c r="M180" s="101" t="s">
        <v>241</v>
      </c>
    </row>
    <row r="181" spans="1:13" ht="15" x14ac:dyDescent="0.2">
      <c r="A181" s="206"/>
      <c r="B181" s="101" t="s">
        <v>737</v>
      </c>
      <c r="C181" s="102" t="s">
        <v>394</v>
      </c>
      <c r="D181" s="101" t="s">
        <v>241</v>
      </c>
      <c r="E181" s="86" t="s">
        <v>395</v>
      </c>
      <c r="F181" s="101" t="s">
        <v>240</v>
      </c>
      <c r="G181" s="77">
        <v>4</v>
      </c>
      <c r="H181" s="77">
        <v>4</v>
      </c>
      <c r="I181" s="77">
        <v>4</v>
      </c>
      <c r="J181" s="101">
        <f t="shared" si="109"/>
        <v>12</v>
      </c>
      <c r="K181" s="101" t="str">
        <f t="shared" si="110"/>
        <v>Critical</v>
      </c>
      <c r="L181" s="101" t="str">
        <f t="shared" si="111"/>
        <v>Confidential</v>
      </c>
      <c r="M181" s="101" t="s">
        <v>241</v>
      </c>
    </row>
    <row r="182" spans="1:13" ht="15" x14ac:dyDescent="0.2">
      <c r="A182" s="206"/>
      <c r="B182" s="101" t="s">
        <v>737</v>
      </c>
      <c r="C182" s="102" t="s">
        <v>396</v>
      </c>
      <c r="D182" s="101" t="s">
        <v>241</v>
      </c>
      <c r="E182" s="86" t="s">
        <v>375</v>
      </c>
      <c r="F182" s="101" t="s">
        <v>240</v>
      </c>
      <c r="G182" s="77">
        <v>2</v>
      </c>
      <c r="H182" s="77">
        <v>3</v>
      </c>
      <c r="I182" s="77">
        <v>4</v>
      </c>
      <c r="J182" s="101">
        <f t="shared" si="109"/>
        <v>9</v>
      </c>
      <c r="K182" s="101" t="str">
        <f t="shared" si="110"/>
        <v>High</v>
      </c>
      <c r="L182" s="101" t="str">
        <f t="shared" si="111"/>
        <v>Internal</v>
      </c>
      <c r="M182" s="101" t="s">
        <v>241</v>
      </c>
    </row>
    <row r="183" spans="1:13" ht="15" x14ac:dyDescent="0.2">
      <c r="A183" s="206"/>
      <c r="B183" s="101" t="s">
        <v>737</v>
      </c>
      <c r="C183" s="102" t="s">
        <v>397</v>
      </c>
      <c r="D183" s="101" t="s">
        <v>241</v>
      </c>
      <c r="E183" s="86" t="s">
        <v>392</v>
      </c>
      <c r="F183" s="101" t="s">
        <v>240</v>
      </c>
      <c r="G183" s="108">
        <v>4</v>
      </c>
      <c r="H183" s="108">
        <v>3</v>
      </c>
      <c r="I183" s="108">
        <v>2</v>
      </c>
      <c r="J183" s="101">
        <f t="shared" si="109"/>
        <v>9</v>
      </c>
      <c r="K183" s="101" t="str">
        <f t="shared" si="110"/>
        <v>High</v>
      </c>
      <c r="L183" s="101" t="str">
        <f t="shared" si="111"/>
        <v>Confidential</v>
      </c>
      <c r="M183" s="101" t="s">
        <v>241</v>
      </c>
    </row>
    <row r="184" spans="1:13" ht="15" x14ac:dyDescent="0.2">
      <c r="A184" s="206"/>
      <c r="B184" s="101" t="s">
        <v>737</v>
      </c>
      <c r="C184" s="102" t="s">
        <v>398</v>
      </c>
      <c r="D184" s="101" t="s">
        <v>241</v>
      </c>
      <c r="E184" s="86" t="s">
        <v>392</v>
      </c>
      <c r="F184" s="101" t="s">
        <v>240</v>
      </c>
      <c r="G184" s="108">
        <v>4</v>
      </c>
      <c r="H184" s="108">
        <v>3</v>
      </c>
      <c r="I184" s="108">
        <v>2</v>
      </c>
      <c r="J184" s="101">
        <f t="shared" si="109"/>
        <v>9</v>
      </c>
      <c r="K184" s="101" t="str">
        <f t="shared" si="110"/>
        <v>High</v>
      </c>
      <c r="L184" s="101" t="str">
        <f t="shared" si="111"/>
        <v>Confidential</v>
      </c>
      <c r="M184" s="101" t="s">
        <v>241</v>
      </c>
    </row>
    <row r="185" spans="1:13" ht="15" x14ac:dyDescent="0.2">
      <c r="A185" s="206"/>
      <c r="B185" s="101" t="s">
        <v>737</v>
      </c>
      <c r="C185" s="102" t="s">
        <v>399</v>
      </c>
      <c r="D185" s="101" t="s">
        <v>241</v>
      </c>
      <c r="E185" s="86" t="s">
        <v>400</v>
      </c>
      <c r="F185" s="101" t="s">
        <v>240</v>
      </c>
      <c r="G185" s="77">
        <v>4</v>
      </c>
      <c r="H185" s="77">
        <v>3</v>
      </c>
      <c r="I185" s="77">
        <v>3</v>
      </c>
      <c r="J185" s="101">
        <f t="shared" si="109"/>
        <v>10</v>
      </c>
      <c r="K185" s="101" t="str">
        <f t="shared" si="110"/>
        <v>High</v>
      </c>
      <c r="L185" s="101" t="str">
        <f t="shared" si="111"/>
        <v>Confidential</v>
      </c>
      <c r="M185" s="101" t="s">
        <v>241</v>
      </c>
    </row>
    <row r="186" spans="1:13" ht="15" x14ac:dyDescent="0.2">
      <c r="A186" s="206"/>
      <c r="B186" s="101" t="s">
        <v>737</v>
      </c>
      <c r="C186" s="102" t="s">
        <v>401</v>
      </c>
      <c r="D186" s="101" t="s">
        <v>241</v>
      </c>
      <c r="E186" s="86" t="s">
        <v>373</v>
      </c>
      <c r="F186" s="101" t="s">
        <v>240</v>
      </c>
      <c r="G186" s="77">
        <v>1</v>
      </c>
      <c r="H186" s="77">
        <v>2</v>
      </c>
      <c r="I186" s="77">
        <v>4</v>
      </c>
      <c r="J186" s="101">
        <f t="shared" si="109"/>
        <v>7</v>
      </c>
      <c r="K186" s="101" t="str">
        <f t="shared" si="110"/>
        <v>Medium</v>
      </c>
      <c r="L186" s="101" t="str">
        <f t="shared" si="111"/>
        <v>Public</v>
      </c>
      <c r="M186" s="101" t="s">
        <v>241</v>
      </c>
    </row>
    <row r="187" spans="1:13" ht="15" x14ac:dyDescent="0.2">
      <c r="A187" s="206"/>
      <c r="B187" s="101" t="s">
        <v>737</v>
      </c>
      <c r="C187" s="102" t="s">
        <v>402</v>
      </c>
      <c r="D187" s="101" t="s">
        <v>241</v>
      </c>
      <c r="E187" s="86" t="s">
        <v>375</v>
      </c>
      <c r="F187" s="101" t="s">
        <v>240</v>
      </c>
      <c r="G187" s="77">
        <v>1</v>
      </c>
      <c r="H187" s="77">
        <v>1</v>
      </c>
      <c r="I187" s="77">
        <v>1</v>
      </c>
      <c r="J187" s="101">
        <f t="shared" si="109"/>
        <v>3</v>
      </c>
      <c r="K187" s="101" t="str">
        <f t="shared" si="110"/>
        <v>Low</v>
      </c>
      <c r="L187" s="101" t="str">
        <f t="shared" si="111"/>
        <v>Public</v>
      </c>
      <c r="M187" s="101" t="s">
        <v>241</v>
      </c>
    </row>
    <row r="188" spans="1:13" ht="15" x14ac:dyDescent="0.2">
      <c r="A188" s="206"/>
      <c r="B188" s="101" t="s">
        <v>737</v>
      </c>
      <c r="C188" s="102" t="s">
        <v>403</v>
      </c>
      <c r="D188" s="101" t="s">
        <v>241</v>
      </c>
      <c r="E188" s="86" t="s">
        <v>392</v>
      </c>
      <c r="F188" s="101" t="s">
        <v>240</v>
      </c>
      <c r="G188" s="108">
        <v>4</v>
      </c>
      <c r="H188" s="108">
        <v>3</v>
      </c>
      <c r="I188" s="108">
        <v>2</v>
      </c>
      <c r="J188" s="101">
        <f t="shared" si="109"/>
        <v>9</v>
      </c>
      <c r="K188" s="101" t="str">
        <f t="shared" si="110"/>
        <v>High</v>
      </c>
      <c r="L188" s="101" t="str">
        <f t="shared" si="111"/>
        <v>Confidential</v>
      </c>
      <c r="M188" s="101" t="s">
        <v>241</v>
      </c>
    </row>
    <row r="189" spans="1:13" ht="15" x14ac:dyDescent="0.2">
      <c r="A189" s="206"/>
      <c r="B189" s="101" t="s">
        <v>737</v>
      </c>
      <c r="C189" s="102" t="s">
        <v>404</v>
      </c>
      <c r="D189" s="101" t="s">
        <v>241</v>
      </c>
      <c r="E189" s="86" t="s">
        <v>385</v>
      </c>
      <c r="F189" s="101" t="s">
        <v>240</v>
      </c>
      <c r="G189" s="108">
        <v>3</v>
      </c>
      <c r="H189" s="108">
        <v>3</v>
      </c>
      <c r="I189" s="108">
        <v>2</v>
      </c>
      <c r="J189" s="101">
        <f t="shared" si="109"/>
        <v>8</v>
      </c>
      <c r="K189" s="101" t="str">
        <f t="shared" si="110"/>
        <v>Medium</v>
      </c>
      <c r="L189" s="101" t="str">
        <f t="shared" si="111"/>
        <v>Internal</v>
      </c>
      <c r="M189" s="101" t="s">
        <v>241</v>
      </c>
    </row>
    <row r="190" spans="1:13" ht="15" x14ac:dyDescent="0.2">
      <c r="A190" s="206"/>
      <c r="B190" s="101" t="s">
        <v>737</v>
      </c>
      <c r="C190" s="102" t="s">
        <v>405</v>
      </c>
      <c r="D190" s="101" t="s">
        <v>241</v>
      </c>
      <c r="E190" s="86" t="s">
        <v>387</v>
      </c>
      <c r="F190" s="101" t="s">
        <v>240</v>
      </c>
      <c r="G190" s="77">
        <v>1</v>
      </c>
      <c r="H190" s="77">
        <v>1</v>
      </c>
      <c r="I190" s="77">
        <v>2</v>
      </c>
      <c r="J190" s="101">
        <f t="shared" si="109"/>
        <v>4</v>
      </c>
      <c r="K190" s="101" t="str">
        <f t="shared" si="110"/>
        <v>Low</v>
      </c>
      <c r="L190" s="101" t="str">
        <f t="shared" si="111"/>
        <v>Public</v>
      </c>
      <c r="M190" s="101" t="s">
        <v>241</v>
      </c>
    </row>
    <row r="191" spans="1:13" ht="15" x14ac:dyDescent="0.2">
      <c r="A191" s="206"/>
      <c r="B191" s="101" t="s">
        <v>737</v>
      </c>
      <c r="C191" s="102" t="s">
        <v>406</v>
      </c>
      <c r="D191" s="101" t="s">
        <v>241</v>
      </c>
      <c r="E191" s="86" t="s">
        <v>407</v>
      </c>
      <c r="F191" s="101" t="s">
        <v>240</v>
      </c>
      <c r="G191" s="101">
        <v>3</v>
      </c>
      <c r="H191" s="101">
        <v>3</v>
      </c>
      <c r="I191" s="101">
        <v>4</v>
      </c>
      <c r="J191" s="101">
        <f t="shared" si="109"/>
        <v>10</v>
      </c>
      <c r="K191" s="101" t="str">
        <f t="shared" si="110"/>
        <v>High</v>
      </c>
      <c r="L191" s="101" t="str">
        <f t="shared" si="111"/>
        <v>Internal</v>
      </c>
      <c r="M191" s="101" t="s">
        <v>241</v>
      </c>
    </row>
    <row r="192" spans="1:13" ht="15" x14ac:dyDescent="0.2">
      <c r="A192" s="206"/>
      <c r="B192" s="101" t="s">
        <v>737</v>
      </c>
      <c r="C192" s="102" t="s">
        <v>408</v>
      </c>
      <c r="D192" s="101" t="s">
        <v>241</v>
      </c>
      <c r="E192" s="86" t="s">
        <v>409</v>
      </c>
      <c r="F192" s="101" t="s">
        <v>240</v>
      </c>
      <c r="G192" s="101">
        <v>3</v>
      </c>
      <c r="H192" s="101">
        <v>3</v>
      </c>
      <c r="I192" s="101">
        <v>4</v>
      </c>
      <c r="J192" s="101">
        <f t="shared" si="109"/>
        <v>10</v>
      </c>
      <c r="K192" s="101" t="str">
        <f t="shared" si="110"/>
        <v>High</v>
      </c>
      <c r="L192" s="101" t="str">
        <f t="shared" si="111"/>
        <v>Internal</v>
      </c>
      <c r="M192" s="101" t="s">
        <v>241</v>
      </c>
    </row>
    <row r="193" spans="1:13" ht="15" x14ac:dyDescent="0.2">
      <c r="A193" s="206"/>
      <c r="B193" s="101" t="s">
        <v>737</v>
      </c>
      <c r="C193" s="102" t="s">
        <v>410</v>
      </c>
      <c r="D193" s="101" t="s">
        <v>241</v>
      </c>
      <c r="E193" s="86" t="s">
        <v>411</v>
      </c>
      <c r="F193" s="101" t="s">
        <v>240</v>
      </c>
      <c r="G193" s="101">
        <v>3</v>
      </c>
      <c r="H193" s="101">
        <v>3</v>
      </c>
      <c r="I193" s="101">
        <v>2</v>
      </c>
      <c r="J193" s="101">
        <f t="shared" si="109"/>
        <v>8</v>
      </c>
      <c r="K193" s="101" t="str">
        <f t="shared" si="110"/>
        <v>Medium</v>
      </c>
      <c r="L193" s="101" t="str">
        <f t="shared" si="111"/>
        <v>Internal</v>
      </c>
      <c r="M193" s="101" t="s">
        <v>241</v>
      </c>
    </row>
    <row r="194" spans="1:13" ht="15" x14ac:dyDescent="0.2">
      <c r="A194" s="206"/>
      <c r="B194" s="101" t="s">
        <v>737</v>
      </c>
      <c r="C194" s="102" t="s">
        <v>412</v>
      </c>
      <c r="D194" s="101" t="s">
        <v>241</v>
      </c>
      <c r="E194" s="86" t="s">
        <v>385</v>
      </c>
      <c r="F194" s="101" t="s">
        <v>240</v>
      </c>
      <c r="G194" s="108">
        <v>3</v>
      </c>
      <c r="H194" s="108">
        <v>3</v>
      </c>
      <c r="I194" s="108">
        <v>4</v>
      </c>
      <c r="J194" s="101">
        <f t="shared" si="109"/>
        <v>10</v>
      </c>
      <c r="K194" s="101" t="str">
        <f t="shared" si="110"/>
        <v>High</v>
      </c>
      <c r="L194" s="101" t="str">
        <f t="shared" si="111"/>
        <v>Internal</v>
      </c>
      <c r="M194" s="101" t="s">
        <v>241</v>
      </c>
    </row>
    <row r="195" spans="1:13" ht="15" x14ac:dyDescent="0.2">
      <c r="A195" s="206"/>
      <c r="B195" s="101" t="s">
        <v>737</v>
      </c>
      <c r="C195" s="102" t="s">
        <v>413</v>
      </c>
      <c r="D195" s="101" t="s">
        <v>241</v>
      </c>
      <c r="E195" s="86" t="s">
        <v>392</v>
      </c>
      <c r="F195" s="101" t="s">
        <v>240</v>
      </c>
      <c r="G195" s="101">
        <v>4</v>
      </c>
      <c r="H195" s="101">
        <v>3</v>
      </c>
      <c r="I195" s="101">
        <v>2</v>
      </c>
      <c r="J195" s="101">
        <f t="shared" si="109"/>
        <v>9</v>
      </c>
      <c r="K195" s="101" t="str">
        <f t="shared" si="110"/>
        <v>High</v>
      </c>
      <c r="L195" s="101" t="str">
        <f t="shared" si="111"/>
        <v>Confidential</v>
      </c>
      <c r="M195" s="101" t="s">
        <v>241</v>
      </c>
    </row>
    <row r="196" spans="1:13" ht="15" x14ac:dyDescent="0.2">
      <c r="A196" s="206"/>
      <c r="B196" s="101" t="s">
        <v>737</v>
      </c>
      <c r="C196" s="102" t="s">
        <v>414</v>
      </c>
      <c r="D196" s="101" t="s">
        <v>241</v>
      </c>
      <c r="E196" s="86" t="s">
        <v>415</v>
      </c>
      <c r="F196" s="101" t="s">
        <v>240</v>
      </c>
      <c r="G196" s="77">
        <v>5</v>
      </c>
      <c r="H196" s="77">
        <v>4</v>
      </c>
      <c r="I196" s="77">
        <v>4</v>
      </c>
      <c r="J196" s="101">
        <f t="shared" si="109"/>
        <v>13</v>
      </c>
      <c r="K196" s="101" t="str">
        <f t="shared" si="110"/>
        <v>Critical</v>
      </c>
      <c r="L196" s="101" t="str">
        <f t="shared" si="111"/>
        <v>Confidential</v>
      </c>
      <c r="M196" s="101" t="s">
        <v>241</v>
      </c>
    </row>
    <row r="197" spans="1:13" ht="15" x14ac:dyDescent="0.2">
      <c r="A197" s="206"/>
      <c r="B197" s="101" t="s">
        <v>737</v>
      </c>
      <c r="C197" s="102" t="s">
        <v>416</v>
      </c>
      <c r="D197" s="101" t="s">
        <v>241</v>
      </c>
      <c r="E197" s="86" t="s">
        <v>387</v>
      </c>
      <c r="F197" s="101" t="s">
        <v>240</v>
      </c>
      <c r="G197" s="77">
        <v>4</v>
      </c>
      <c r="H197" s="77">
        <v>3</v>
      </c>
      <c r="I197" s="77">
        <v>3</v>
      </c>
      <c r="J197" s="101">
        <f t="shared" si="109"/>
        <v>10</v>
      </c>
      <c r="K197" s="101" t="str">
        <f t="shared" si="110"/>
        <v>High</v>
      </c>
      <c r="L197" s="101" t="str">
        <f t="shared" si="111"/>
        <v>Confidential</v>
      </c>
      <c r="M197" s="101" t="s">
        <v>241</v>
      </c>
    </row>
    <row r="198" spans="1:13" ht="15" x14ac:dyDescent="0.2">
      <c r="A198" s="206"/>
      <c r="B198" s="101" t="s">
        <v>737</v>
      </c>
      <c r="C198" s="102" t="s">
        <v>417</v>
      </c>
      <c r="D198" s="101" t="s">
        <v>241</v>
      </c>
      <c r="E198" s="86" t="s">
        <v>392</v>
      </c>
      <c r="F198" s="101" t="s">
        <v>240</v>
      </c>
      <c r="G198" s="108">
        <v>3</v>
      </c>
      <c r="H198" s="108">
        <v>3</v>
      </c>
      <c r="I198" s="108">
        <v>4</v>
      </c>
      <c r="J198" s="101">
        <f t="shared" si="109"/>
        <v>10</v>
      </c>
      <c r="K198" s="101" t="str">
        <f t="shared" si="110"/>
        <v>High</v>
      </c>
      <c r="L198" s="101" t="str">
        <f t="shared" si="111"/>
        <v>Internal</v>
      </c>
      <c r="M198" s="101" t="s">
        <v>241</v>
      </c>
    </row>
    <row r="199" spans="1:13" ht="15" x14ac:dyDescent="0.2">
      <c r="A199" s="206"/>
      <c r="B199" s="101" t="s">
        <v>737</v>
      </c>
      <c r="C199" s="102" t="s">
        <v>417</v>
      </c>
      <c r="D199" s="101" t="s">
        <v>241</v>
      </c>
      <c r="E199" s="86" t="s">
        <v>392</v>
      </c>
      <c r="F199" s="101" t="s">
        <v>240</v>
      </c>
      <c r="G199" s="108">
        <v>3</v>
      </c>
      <c r="H199" s="108">
        <v>3</v>
      </c>
      <c r="I199" s="108">
        <v>4</v>
      </c>
      <c r="J199" s="101">
        <f t="shared" si="109"/>
        <v>10</v>
      </c>
      <c r="K199" s="101" t="str">
        <f t="shared" si="110"/>
        <v>High</v>
      </c>
      <c r="L199" s="101" t="str">
        <f t="shared" si="111"/>
        <v>Internal</v>
      </c>
      <c r="M199" s="101" t="s">
        <v>241</v>
      </c>
    </row>
    <row r="200" spans="1:13" ht="15" x14ac:dyDescent="0.2">
      <c r="A200" s="206"/>
      <c r="B200" s="101" t="s">
        <v>737</v>
      </c>
      <c r="C200" s="102" t="s">
        <v>418</v>
      </c>
      <c r="D200" s="101" t="s">
        <v>241</v>
      </c>
      <c r="E200" s="86" t="s">
        <v>385</v>
      </c>
      <c r="F200" s="101" t="s">
        <v>240</v>
      </c>
      <c r="G200" s="108">
        <v>3</v>
      </c>
      <c r="H200" s="108">
        <v>3</v>
      </c>
      <c r="I200" s="108">
        <v>4</v>
      </c>
      <c r="J200" s="101">
        <f t="shared" si="109"/>
        <v>10</v>
      </c>
      <c r="K200" s="101" t="str">
        <f t="shared" si="110"/>
        <v>High</v>
      </c>
      <c r="L200" s="101" t="str">
        <f t="shared" si="111"/>
        <v>Internal</v>
      </c>
      <c r="M200" s="101" t="s">
        <v>241</v>
      </c>
    </row>
    <row r="201" spans="1:13" ht="15" x14ac:dyDescent="0.2">
      <c r="A201" s="206"/>
      <c r="B201" s="101" t="s">
        <v>737</v>
      </c>
      <c r="C201" s="102" t="s">
        <v>419</v>
      </c>
      <c r="D201" s="101" t="s">
        <v>241</v>
      </c>
      <c r="E201" s="86" t="s">
        <v>392</v>
      </c>
      <c r="F201" s="101" t="s">
        <v>240</v>
      </c>
      <c r="G201" s="108">
        <v>3</v>
      </c>
      <c r="H201" s="108">
        <v>3</v>
      </c>
      <c r="I201" s="108">
        <v>4</v>
      </c>
      <c r="J201" s="101">
        <f t="shared" si="109"/>
        <v>10</v>
      </c>
      <c r="K201" s="101" t="str">
        <f t="shared" si="110"/>
        <v>High</v>
      </c>
      <c r="L201" s="101" t="str">
        <f t="shared" si="111"/>
        <v>Internal</v>
      </c>
      <c r="M201" s="101" t="s">
        <v>241</v>
      </c>
    </row>
    <row r="202" spans="1:13" ht="15" x14ac:dyDescent="0.2">
      <c r="A202" s="206"/>
      <c r="B202" s="101" t="s">
        <v>737</v>
      </c>
      <c r="C202" s="102" t="s">
        <v>420</v>
      </c>
      <c r="D202" s="101" t="s">
        <v>241</v>
      </c>
      <c r="E202" s="86" t="s">
        <v>385</v>
      </c>
      <c r="F202" s="101" t="s">
        <v>240</v>
      </c>
      <c r="G202" s="108">
        <v>3</v>
      </c>
      <c r="H202" s="108">
        <v>3</v>
      </c>
      <c r="I202" s="108">
        <v>4</v>
      </c>
      <c r="J202" s="101">
        <f t="shared" si="109"/>
        <v>10</v>
      </c>
      <c r="K202" s="101" t="str">
        <f t="shared" si="110"/>
        <v>High</v>
      </c>
      <c r="L202" s="101" t="str">
        <f t="shared" si="111"/>
        <v>Internal</v>
      </c>
      <c r="M202" s="101" t="s">
        <v>241</v>
      </c>
    </row>
    <row r="203" spans="1:13" ht="15" x14ac:dyDescent="0.2">
      <c r="A203" s="206"/>
      <c r="B203" s="101" t="s">
        <v>737</v>
      </c>
      <c r="C203" s="102" t="s">
        <v>421</v>
      </c>
      <c r="D203" s="101" t="s">
        <v>241</v>
      </c>
      <c r="E203" s="86" t="s">
        <v>392</v>
      </c>
      <c r="F203" s="101" t="s">
        <v>240</v>
      </c>
      <c r="G203" s="108">
        <v>3</v>
      </c>
      <c r="H203" s="108">
        <v>3</v>
      </c>
      <c r="I203" s="108">
        <v>4</v>
      </c>
      <c r="J203" s="101">
        <f t="shared" si="109"/>
        <v>10</v>
      </c>
      <c r="K203" s="101" t="str">
        <f t="shared" si="110"/>
        <v>High</v>
      </c>
      <c r="L203" s="101" t="str">
        <f t="shared" si="111"/>
        <v>Internal</v>
      </c>
      <c r="M203" s="101" t="s">
        <v>241</v>
      </c>
    </row>
    <row r="204" spans="1:13" ht="15" x14ac:dyDescent="0.2">
      <c r="A204" s="206"/>
      <c r="B204" s="101" t="s">
        <v>737</v>
      </c>
      <c r="C204" s="102" t="s">
        <v>422</v>
      </c>
      <c r="D204" s="101" t="s">
        <v>241</v>
      </c>
      <c r="E204" s="86" t="s">
        <v>392</v>
      </c>
      <c r="F204" s="101" t="s">
        <v>240</v>
      </c>
      <c r="G204" s="108">
        <v>3</v>
      </c>
      <c r="H204" s="108">
        <v>3</v>
      </c>
      <c r="I204" s="108">
        <v>4</v>
      </c>
      <c r="J204" s="101">
        <f t="shared" si="109"/>
        <v>10</v>
      </c>
      <c r="K204" s="101" t="str">
        <f t="shared" si="110"/>
        <v>High</v>
      </c>
      <c r="L204" s="101" t="str">
        <f t="shared" si="111"/>
        <v>Internal</v>
      </c>
      <c r="M204" s="101" t="s">
        <v>241</v>
      </c>
    </row>
    <row r="205" spans="1:13" ht="15" x14ac:dyDescent="0.2">
      <c r="A205" s="206"/>
      <c r="B205" s="101" t="s">
        <v>737</v>
      </c>
      <c r="C205" s="102" t="s">
        <v>423</v>
      </c>
      <c r="D205" s="101" t="s">
        <v>241</v>
      </c>
      <c r="E205" s="86" t="s">
        <v>424</v>
      </c>
      <c r="F205" s="101" t="s">
        <v>240</v>
      </c>
      <c r="G205" s="77">
        <v>2</v>
      </c>
      <c r="H205" s="77">
        <v>2</v>
      </c>
      <c r="I205" s="77">
        <v>2</v>
      </c>
      <c r="J205" s="101">
        <f t="shared" si="109"/>
        <v>6</v>
      </c>
      <c r="K205" s="101" t="str">
        <f t="shared" si="110"/>
        <v>Medium</v>
      </c>
      <c r="L205" s="101" t="str">
        <f t="shared" si="111"/>
        <v>Internal</v>
      </c>
      <c r="M205" s="101" t="s">
        <v>241</v>
      </c>
    </row>
    <row r="206" spans="1:13" ht="15" x14ac:dyDescent="0.2">
      <c r="A206" s="206"/>
      <c r="B206" s="101" t="s">
        <v>737</v>
      </c>
      <c r="C206" s="102" t="s">
        <v>425</v>
      </c>
      <c r="D206" s="101" t="s">
        <v>241</v>
      </c>
      <c r="E206" s="86" t="s">
        <v>375</v>
      </c>
      <c r="F206" s="101" t="s">
        <v>240</v>
      </c>
      <c r="G206" s="77">
        <v>1</v>
      </c>
      <c r="H206" s="77">
        <v>1</v>
      </c>
      <c r="I206" s="77">
        <v>1</v>
      </c>
      <c r="J206" s="101">
        <f t="shared" si="109"/>
        <v>3</v>
      </c>
      <c r="K206" s="101" t="str">
        <f t="shared" si="110"/>
        <v>Low</v>
      </c>
      <c r="L206" s="101" t="str">
        <f t="shared" si="111"/>
        <v>Public</v>
      </c>
      <c r="M206" s="101" t="s">
        <v>241</v>
      </c>
    </row>
    <row r="207" spans="1:13" ht="15" x14ac:dyDescent="0.2">
      <c r="A207" s="206"/>
      <c r="B207" s="101" t="s">
        <v>737</v>
      </c>
      <c r="C207" s="102" t="s">
        <v>426</v>
      </c>
      <c r="D207" s="101" t="s">
        <v>241</v>
      </c>
      <c r="E207" s="86" t="s">
        <v>427</v>
      </c>
      <c r="F207" s="101" t="s">
        <v>240</v>
      </c>
      <c r="G207" s="77">
        <v>1</v>
      </c>
      <c r="H207" s="77">
        <v>1</v>
      </c>
      <c r="I207" s="77">
        <v>2</v>
      </c>
      <c r="J207" s="101">
        <f t="shared" si="109"/>
        <v>4</v>
      </c>
      <c r="K207" s="101" t="str">
        <f t="shared" si="110"/>
        <v>Low</v>
      </c>
      <c r="L207" s="101" t="str">
        <f t="shared" si="111"/>
        <v>Public</v>
      </c>
      <c r="M207" s="101" t="s">
        <v>241</v>
      </c>
    </row>
    <row r="208" spans="1:13" ht="15" x14ac:dyDescent="0.2">
      <c r="A208" s="206"/>
      <c r="B208" s="101" t="s">
        <v>737</v>
      </c>
      <c r="C208" s="102" t="s">
        <v>428</v>
      </c>
      <c r="D208" s="101" t="s">
        <v>241</v>
      </c>
      <c r="E208" s="86" t="s">
        <v>385</v>
      </c>
      <c r="F208" s="101" t="s">
        <v>240</v>
      </c>
      <c r="G208" s="77">
        <v>3</v>
      </c>
      <c r="H208" s="77">
        <v>4</v>
      </c>
      <c r="I208" s="77">
        <v>3</v>
      </c>
      <c r="J208" s="101">
        <f t="shared" si="109"/>
        <v>10</v>
      </c>
      <c r="K208" s="101" t="str">
        <f t="shared" si="110"/>
        <v>High</v>
      </c>
      <c r="L208" s="101" t="str">
        <f t="shared" si="111"/>
        <v>Internal</v>
      </c>
      <c r="M208" s="101" t="s">
        <v>241</v>
      </c>
    </row>
    <row r="209" spans="1:13" ht="15" x14ac:dyDescent="0.2">
      <c r="A209" s="206"/>
      <c r="B209" s="101" t="s">
        <v>737</v>
      </c>
      <c r="C209" s="102" t="s">
        <v>429</v>
      </c>
      <c r="D209" s="101" t="s">
        <v>241</v>
      </c>
      <c r="E209" s="86" t="s">
        <v>373</v>
      </c>
      <c r="F209" s="101" t="s">
        <v>240</v>
      </c>
      <c r="G209" s="101">
        <v>1</v>
      </c>
      <c r="H209" s="101">
        <v>2</v>
      </c>
      <c r="I209" s="101">
        <v>3</v>
      </c>
      <c r="J209" s="101">
        <f t="shared" si="109"/>
        <v>6</v>
      </c>
      <c r="K209" s="101" t="str">
        <f t="shared" si="110"/>
        <v>Medium</v>
      </c>
      <c r="L209" s="101" t="str">
        <f t="shared" si="111"/>
        <v>Public</v>
      </c>
      <c r="M209" s="101" t="s">
        <v>241</v>
      </c>
    </row>
    <row r="210" spans="1:13" ht="15" x14ac:dyDescent="0.2">
      <c r="A210" s="206"/>
      <c r="B210" s="101" t="s">
        <v>737</v>
      </c>
      <c r="C210" s="102" t="s">
        <v>430</v>
      </c>
      <c r="D210" s="101" t="s">
        <v>241</v>
      </c>
      <c r="E210" s="86" t="s">
        <v>375</v>
      </c>
      <c r="F210" s="101" t="s">
        <v>240</v>
      </c>
      <c r="G210" s="101">
        <v>4</v>
      </c>
      <c r="H210" s="101">
        <v>4</v>
      </c>
      <c r="I210" s="101">
        <v>4</v>
      </c>
      <c r="J210" s="101">
        <f t="shared" si="109"/>
        <v>12</v>
      </c>
      <c r="K210" s="101" t="str">
        <f t="shared" si="110"/>
        <v>Critical</v>
      </c>
      <c r="L210" s="101" t="str">
        <f t="shared" si="111"/>
        <v>Confidential</v>
      </c>
      <c r="M210" s="101" t="s">
        <v>241</v>
      </c>
    </row>
    <row r="211" spans="1:13" ht="15" x14ac:dyDescent="0.2">
      <c r="A211" s="206"/>
      <c r="B211" s="101" t="s">
        <v>737</v>
      </c>
      <c r="C211" s="102" t="s">
        <v>431</v>
      </c>
      <c r="D211" s="101" t="s">
        <v>241</v>
      </c>
      <c r="E211" s="86" t="s">
        <v>378</v>
      </c>
      <c r="F211" s="101" t="s">
        <v>240</v>
      </c>
      <c r="G211" s="77">
        <v>4</v>
      </c>
      <c r="H211" s="77">
        <v>1</v>
      </c>
      <c r="I211" s="77">
        <v>1</v>
      </c>
      <c r="J211" s="101">
        <f t="shared" si="109"/>
        <v>6</v>
      </c>
      <c r="K211" s="101" t="str">
        <f t="shared" si="110"/>
        <v>Medium</v>
      </c>
      <c r="L211" s="101" t="str">
        <f t="shared" si="111"/>
        <v>Confidential</v>
      </c>
      <c r="M211" s="101" t="s">
        <v>241</v>
      </c>
    </row>
    <row r="212" spans="1:13" ht="15" x14ac:dyDescent="0.2">
      <c r="A212" s="206"/>
      <c r="B212" s="101" t="s">
        <v>737</v>
      </c>
      <c r="C212" s="102" t="s">
        <v>432</v>
      </c>
      <c r="D212" s="101" t="s">
        <v>241</v>
      </c>
      <c r="E212" s="86" t="s">
        <v>385</v>
      </c>
      <c r="F212" s="101" t="s">
        <v>240</v>
      </c>
      <c r="G212" s="108">
        <v>1</v>
      </c>
      <c r="H212" s="108">
        <v>1</v>
      </c>
      <c r="I212" s="108">
        <v>3</v>
      </c>
      <c r="J212" s="101">
        <f t="shared" si="109"/>
        <v>5</v>
      </c>
      <c r="K212" s="101" t="str">
        <f t="shared" si="110"/>
        <v>Medium</v>
      </c>
      <c r="L212" s="101" t="str">
        <f t="shared" si="111"/>
        <v>Public</v>
      </c>
      <c r="M212" s="101" t="s">
        <v>241</v>
      </c>
    </row>
    <row r="213" spans="1:13" ht="15" x14ac:dyDescent="0.2">
      <c r="A213" s="206"/>
      <c r="B213" s="101" t="s">
        <v>737</v>
      </c>
      <c r="C213" s="102" t="s">
        <v>433</v>
      </c>
      <c r="D213" s="101" t="s">
        <v>241</v>
      </c>
      <c r="E213" s="86" t="s">
        <v>387</v>
      </c>
      <c r="F213" s="101" t="s">
        <v>240</v>
      </c>
      <c r="G213" s="77">
        <v>2</v>
      </c>
      <c r="H213" s="77">
        <v>3</v>
      </c>
      <c r="I213" s="77">
        <v>4</v>
      </c>
      <c r="J213" s="101">
        <f t="shared" si="109"/>
        <v>9</v>
      </c>
      <c r="K213" s="101" t="str">
        <f t="shared" si="110"/>
        <v>High</v>
      </c>
      <c r="L213" s="101" t="str">
        <f t="shared" si="111"/>
        <v>Internal</v>
      </c>
      <c r="M213" s="101" t="s">
        <v>241</v>
      </c>
    </row>
    <row r="214" spans="1:13" ht="15" x14ac:dyDescent="0.2">
      <c r="A214" s="206"/>
      <c r="B214" s="101" t="s">
        <v>737</v>
      </c>
      <c r="C214" s="102" t="s">
        <v>434</v>
      </c>
      <c r="D214" s="101" t="s">
        <v>241</v>
      </c>
      <c r="E214" s="86" t="s">
        <v>375</v>
      </c>
      <c r="F214" s="101" t="s">
        <v>240</v>
      </c>
      <c r="G214" s="77">
        <v>2</v>
      </c>
      <c r="H214" s="77">
        <v>2</v>
      </c>
      <c r="I214" s="77">
        <v>2</v>
      </c>
      <c r="J214" s="101">
        <f t="shared" si="109"/>
        <v>6</v>
      </c>
      <c r="K214" s="101" t="str">
        <f t="shared" si="110"/>
        <v>Medium</v>
      </c>
      <c r="L214" s="101" t="str">
        <f t="shared" si="111"/>
        <v>Internal</v>
      </c>
      <c r="M214" s="101" t="s">
        <v>241</v>
      </c>
    </row>
    <row r="215" spans="1:13" ht="15" x14ac:dyDescent="0.2">
      <c r="A215" s="206"/>
      <c r="B215" s="101" t="s">
        <v>737</v>
      </c>
      <c r="C215" s="102" t="s">
        <v>435</v>
      </c>
      <c r="D215" s="101" t="s">
        <v>241</v>
      </c>
      <c r="E215" s="86" t="s">
        <v>375</v>
      </c>
      <c r="F215" s="101" t="s">
        <v>240</v>
      </c>
      <c r="G215" s="101">
        <v>1</v>
      </c>
      <c r="H215" s="101">
        <v>2</v>
      </c>
      <c r="I215" s="101">
        <v>3</v>
      </c>
      <c r="J215" s="101">
        <f t="shared" si="109"/>
        <v>6</v>
      </c>
      <c r="K215" s="101" t="str">
        <f t="shared" si="110"/>
        <v>Medium</v>
      </c>
      <c r="L215" s="101" t="str">
        <f t="shared" si="111"/>
        <v>Public</v>
      </c>
      <c r="M215" s="101" t="s">
        <v>241</v>
      </c>
    </row>
    <row r="216" spans="1:13" ht="15" x14ac:dyDescent="0.2">
      <c r="A216" s="206"/>
      <c r="B216" s="101" t="s">
        <v>737</v>
      </c>
      <c r="C216" s="102" t="s">
        <v>436</v>
      </c>
      <c r="D216" s="101" t="s">
        <v>241</v>
      </c>
      <c r="E216" s="86" t="s">
        <v>378</v>
      </c>
      <c r="F216" s="101" t="s">
        <v>240</v>
      </c>
      <c r="G216" s="77">
        <v>3</v>
      </c>
      <c r="H216" s="77">
        <v>3</v>
      </c>
      <c r="I216" s="77">
        <v>3</v>
      </c>
      <c r="J216" s="101">
        <f t="shared" si="109"/>
        <v>9</v>
      </c>
      <c r="K216" s="101" t="str">
        <f t="shared" si="110"/>
        <v>High</v>
      </c>
      <c r="L216" s="101" t="str">
        <f t="shared" si="111"/>
        <v>Internal</v>
      </c>
      <c r="M216" s="101" t="s">
        <v>241</v>
      </c>
    </row>
    <row r="217" spans="1:13" ht="15" x14ac:dyDescent="0.2">
      <c r="A217" s="206"/>
      <c r="B217" s="101" t="s">
        <v>737</v>
      </c>
      <c r="C217" s="102" t="s">
        <v>437</v>
      </c>
      <c r="D217" s="101" t="s">
        <v>241</v>
      </c>
      <c r="E217" s="86" t="s">
        <v>375</v>
      </c>
      <c r="F217" s="101" t="s">
        <v>240</v>
      </c>
      <c r="G217" s="77">
        <v>4</v>
      </c>
      <c r="H217" s="77">
        <v>2</v>
      </c>
      <c r="I217" s="77">
        <v>3</v>
      </c>
      <c r="J217" s="101">
        <f t="shared" si="109"/>
        <v>9</v>
      </c>
      <c r="K217" s="101" t="str">
        <f t="shared" si="110"/>
        <v>High</v>
      </c>
      <c r="L217" s="101" t="str">
        <f t="shared" si="111"/>
        <v>Confidential</v>
      </c>
      <c r="M217" s="101" t="s">
        <v>241</v>
      </c>
    </row>
    <row r="218" spans="1:13" ht="15" x14ac:dyDescent="0.2">
      <c r="A218" s="206"/>
      <c r="B218" s="101" t="s">
        <v>737</v>
      </c>
      <c r="C218" s="102" t="s">
        <v>438</v>
      </c>
      <c r="D218" s="101" t="s">
        <v>241</v>
      </c>
      <c r="E218" s="86" t="s">
        <v>375</v>
      </c>
      <c r="F218" s="101" t="s">
        <v>240</v>
      </c>
      <c r="G218" s="77">
        <v>1</v>
      </c>
      <c r="H218" s="77">
        <v>1</v>
      </c>
      <c r="I218" s="77">
        <v>1</v>
      </c>
      <c r="J218" s="101">
        <f t="shared" si="109"/>
        <v>3</v>
      </c>
      <c r="K218" s="101" t="str">
        <f t="shared" si="110"/>
        <v>Low</v>
      </c>
      <c r="L218" s="101" t="str">
        <f t="shared" si="111"/>
        <v>Public</v>
      </c>
      <c r="M218" s="101" t="s">
        <v>241</v>
      </c>
    </row>
    <row r="219" spans="1:13" ht="15" x14ac:dyDescent="0.2">
      <c r="A219" s="206"/>
      <c r="B219" s="101" t="s">
        <v>737</v>
      </c>
      <c r="C219" s="102" t="s">
        <v>439</v>
      </c>
      <c r="D219" s="101" t="s">
        <v>241</v>
      </c>
      <c r="E219" s="86" t="s">
        <v>375</v>
      </c>
      <c r="F219" s="101" t="s">
        <v>240</v>
      </c>
      <c r="G219" s="77">
        <v>2</v>
      </c>
      <c r="H219" s="77">
        <v>2</v>
      </c>
      <c r="I219" s="77">
        <v>3</v>
      </c>
      <c r="J219" s="101">
        <f t="shared" si="109"/>
        <v>7</v>
      </c>
      <c r="K219" s="101" t="str">
        <f t="shared" si="110"/>
        <v>Medium</v>
      </c>
      <c r="L219" s="101" t="str">
        <f t="shared" si="111"/>
        <v>Internal</v>
      </c>
      <c r="M219" s="101" t="s">
        <v>241</v>
      </c>
    </row>
    <row r="220" spans="1:13" ht="15" x14ac:dyDescent="0.2">
      <c r="A220" s="206"/>
      <c r="B220" s="101" t="s">
        <v>737</v>
      </c>
      <c r="C220" s="102" t="s">
        <v>440</v>
      </c>
      <c r="D220" s="101" t="s">
        <v>241</v>
      </c>
      <c r="E220" s="86" t="s">
        <v>375</v>
      </c>
      <c r="F220" s="101" t="s">
        <v>240</v>
      </c>
      <c r="G220" s="101">
        <v>1</v>
      </c>
      <c r="H220" s="101">
        <v>2</v>
      </c>
      <c r="I220" s="101">
        <v>2</v>
      </c>
      <c r="J220" s="101">
        <f t="shared" si="109"/>
        <v>5</v>
      </c>
      <c r="K220" s="101" t="str">
        <f t="shared" si="110"/>
        <v>Medium</v>
      </c>
      <c r="L220" s="101" t="str">
        <f t="shared" si="111"/>
        <v>Public</v>
      </c>
      <c r="M220" s="101" t="s">
        <v>241</v>
      </c>
    </row>
    <row r="221" spans="1:13" ht="15" x14ac:dyDescent="0.2">
      <c r="A221" s="206"/>
      <c r="B221" s="101" t="s">
        <v>737</v>
      </c>
      <c r="C221" s="102" t="s">
        <v>441</v>
      </c>
      <c r="D221" s="101" t="s">
        <v>241</v>
      </c>
      <c r="E221" s="86" t="s">
        <v>375</v>
      </c>
      <c r="F221" s="101" t="s">
        <v>240</v>
      </c>
      <c r="G221" s="101">
        <v>1</v>
      </c>
      <c r="H221" s="101">
        <v>2</v>
      </c>
      <c r="I221" s="101">
        <v>2</v>
      </c>
      <c r="J221" s="101">
        <f t="shared" si="109"/>
        <v>5</v>
      </c>
      <c r="K221" s="101" t="str">
        <f t="shared" si="110"/>
        <v>Medium</v>
      </c>
      <c r="L221" s="101" t="str">
        <f t="shared" si="111"/>
        <v>Public</v>
      </c>
      <c r="M221" s="101" t="s">
        <v>241</v>
      </c>
    </row>
    <row r="222" spans="1:13" ht="15" x14ac:dyDescent="0.2">
      <c r="A222" s="206"/>
      <c r="B222" s="101" t="s">
        <v>737</v>
      </c>
      <c r="C222" s="102" t="s">
        <v>442</v>
      </c>
      <c r="D222" s="101" t="s">
        <v>241</v>
      </c>
      <c r="E222" s="86" t="s">
        <v>375</v>
      </c>
      <c r="F222" s="101" t="s">
        <v>240</v>
      </c>
      <c r="G222" s="77">
        <v>2</v>
      </c>
      <c r="H222" s="77">
        <v>2</v>
      </c>
      <c r="I222" s="77">
        <v>4</v>
      </c>
      <c r="J222" s="101">
        <f t="shared" si="109"/>
        <v>8</v>
      </c>
      <c r="K222" s="101" t="str">
        <f t="shared" si="110"/>
        <v>Medium</v>
      </c>
      <c r="L222" s="101" t="str">
        <f t="shared" si="111"/>
        <v>Internal</v>
      </c>
      <c r="M222" s="101" t="s">
        <v>241</v>
      </c>
    </row>
    <row r="223" spans="1:13" ht="15" x14ac:dyDescent="0.2">
      <c r="B223" s="101" t="s">
        <v>738</v>
      </c>
      <c r="C223" s="102" t="s">
        <v>303</v>
      </c>
      <c r="D223" s="101" t="s">
        <v>241</v>
      </c>
      <c r="E223" s="86" t="s">
        <v>558</v>
      </c>
      <c r="F223" s="101" t="s">
        <v>240</v>
      </c>
      <c r="G223" s="77">
        <v>2</v>
      </c>
      <c r="H223" s="77">
        <v>3</v>
      </c>
      <c r="I223" s="77">
        <v>4</v>
      </c>
      <c r="J223" s="101">
        <f t="shared" si="109"/>
        <v>9</v>
      </c>
      <c r="K223" s="101" t="str">
        <f t="shared" si="110"/>
        <v>High</v>
      </c>
      <c r="L223" s="101" t="str">
        <f t="shared" ref="L223:L235" si="112">IF(G223&lt;=1,"Public",IF(AND(G223&gt;1,G223&lt;=3),"Internal",IF(AND(G223&gt;3,G223&lt;=5),"Confidential","Error")))</f>
        <v>Internal</v>
      </c>
      <c r="M223" s="101" t="s">
        <v>241</v>
      </c>
    </row>
    <row r="224" spans="1:13" ht="15" x14ac:dyDescent="0.2">
      <c r="B224" s="101" t="s">
        <v>738</v>
      </c>
      <c r="C224" s="102" t="s">
        <v>314</v>
      </c>
      <c r="D224" s="101" t="s">
        <v>241</v>
      </c>
      <c r="E224" s="86" t="s">
        <v>558</v>
      </c>
      <c r="F224" s="101" t="s">
        <v>240</v>
      </c>
      <c r="G224" s="77">
        <v>2</v>
      </c>
      <c r="H224" s="77">
        <v>3</v>
      </c>
      <c r="I224" s="77">
        <v>4</v>
      </c>
      <c r="J224" s="101">
        <f t="shared" ref="J224:J235" si="113">(G224+H224+I224)</f>
        <v>9</v>
      </c>
      <c r="K224" s="101" t="str">
        <f t="shared" si="110"/>
        <v>High</v>
      </c>
      <c r="L224" s="101" t="str">
        <f t="shared" si="112"/>
        <v>Internal</v>
      </c>
      <c r="M224" s="101" t="s">
        <v>241</v>
      </c>
    </row>
    <row r="225" spans="1:13" ht="15" x14ac:dyDescent="0.2">
      <c r="B225" s="101" t="s">
        <v>738</v>
      </c>
      <c r="C225" s="102" t="s">
        <v>304</v>
      </c>
      <c r="D225" s="101" t="s">
        <v>241</v>
      </c>
      <c r="E225" s="86" t="s">
        <v>558</v>
      </c>
      <c r="F225" s="101" t="s">
        <v>240</v>
      </c>
      <c r="G225" s="77">
        <v>2</v>
      </c>
      <c r="H225" s="77">
        <v>3</v>
      </c>
      <c r="I225" s="77">
        <v>4</v>
      </c>
      <c r="J225" s="101">
        <f t="shared" si="113"/>
        <v>9</v>
      </c>
      <c r="K225" s="101" t="str">
        <f t="shared" si="110"/>
        <v>High</v>
      </c>
      <c r="L225" s="101" t="str">
        <f t="shared" si="112"/>
        <v>Internal</v>
      </c>
      <c r="M225" s="101" t="s">
        <v>241</v>
      </c>
    </row>
    <row r="226" spans="1:13" ht="15" x14ac:dyDescent="0.2">
      <c r="A226" s="204">
        <v>11</v>
      </c>
      <c r="B226" s="101" t="s">
        <v>537</v>
      </c>
      <c r="C226" s="102" t="s">
        <v>145</v>
      </c>
      <c r="D226" s="101" t="s">
        <v>241</v>
      </c>
      <c r="E226" s="103" t="s">
        <v>293</v>
      </c>
      <c r="F226" s="101" t="s">
        <v>240</v>
      </c>
      <c r="G226" s="101">
        <v>4</v>
      </c>
      <c r="H226" s="101">
        <v>4</v>
      </c>
      <c r="I226" s="101">
        <v>4</v>
      </c>
      <c r="J226" s="101">
        <f t="shared" si="113"/>
        <v>12</v>
      </c>
      <c r="K226" s="101" t="str">
        <f t="shared" ref="K226:K235" si="114">IF(J226&lt;=4,"Low",IF(AND(J226&gt;4,J226&lt;=8),"Medium",IF(AND(J226&gt;8,J226&lt;=11),"High",IF(AND(J226&gt;11,J226&lt;=15),"Critical","Error"))))</f>
        <v>Critical</v>
      </c>
      <c r="L226" s="101" t="str">
        <f t="shared" si="112"/>
        <v>Confidential</v>
      </c>
      <c r="M226" s="101" t="s">
        <v>287</v>
      </c>
    </row>
    <row r="227" spans="1:13" ht="15" x14ac:dyDescent="0.2">
      <c r="A227" s="204"/>
      <c r="B227" s="101" t="s">
        <v>537</v>
      </c>
      <c r="C227" s="102" t="s">
        <v>146</v>
      </c>
      <c r="D227" s="101" t="s">
        <v>241</v>
      </c>
      <c r="E227" s="103" t="s">
        <v>242</v>
      </c>
      <c r="F227" s="101" t="s">
        <v>240</v>
      </c>
      <c r="G227" s="101">
        <v>4</v>
      </c>
      <c r="H227" s="101">
        <v>3</v>
      </c>
      <c r="I227" s="101">
        <v>3</v>
      </c>
      <c r="J227" s="101">
        <f t="shared" si="113"/>
        <v>10</v>
      </c>
      <c r="K227" s="101" t="str">
        <f t="shared" si="114"/>
        <v>High</v>
      </c>
      <c r="L227" s="101" t="str">
        <f t="shared" si="112"/>
        <v>Confidential</v>
      </c>
      <c r="M227" s="101" t="s">
        <v>287</v>
      </c>
    </row>
    <row r="228" spans="1:13" ht="15" x14ac:dyDescent="0.2">
      <c r="A228" s="204"/>
      <c r="B228" s="101" t="s">
        <v>537</v>
      </c>
      <c r="C228" s="102" t="s">
        <v>227</v>
      </c>
      <c r="D228" s="101" t="s">
        <v>241</v>
      </c>
      <c r="E228" s="103" t="s">
        <v>293</v>
      </c>
      <c r="F228" s="101" t="s">
        <v>240</v>
      </c>
      <c r="G228" s="101">
        <v>3</v>
      </c>
      <c r="H228" s="101">
        <v>3</v>
      </c>
      <c r="I228" s="101">
        <v>3</v>
      </c>
      <c r="J228" s="101">
        <f t="shared" si="113"/>
        <v>9</v>
      </c>
      <c r="K228" s="101" t="str">
        <f t="shared" si="114"/>
        <v>High</v>
      </c>
      <c r="L228" s="101" t="str">
        <f t="shared" si="112"/>
        <v>Internal</v>
      </c>
      <c r="M228" s="101" t="s">
        <v>287</v>
      </c>
    </row>
    <row r="229" spans="1:13" ht="15" x14ac:dyDescent="0.2">
      <c r="A229" s="204"/>
      <c r="B229" s="101" t="s">
        <v>537</v>
      </c>
      <c r="C229" s="102" t="s">
        <v>147</v>
      </c>
      <c r="D229" s="101" t="s">
        <v>241</v>
      </c>
      <c r="E229" s="103" t="s">
        <v>242</v>
      </c>
      <c r="F229" s="101" t="s">
        <v>240</v>
      </c>
      <c r="G229" s="101">
        <v>4</v>
      </c>
      <c r="H229" s="101">
        <v>3</v>
      </c>
      <c r="I229" s="101">
        <v>3</v>
      </c>
      <c r="J229" s="101">
        <f t="shared" si="113"/>
        <v>10</v>
      </c>
      <c r="K229" s="101" t="str">
        <f t="shared" si="114"/>
        <v>High</v>
      </c>
      <c r="L229" s="101" t="str">
        <f t="shared" si="112"/>
        <v>Confidential</v>
      </c>
      <c r="M229" s="101" t="s">
        <v>287</v>
      </c>
    </row>
    <row r="230" spans="1:13" ht="15" x14ac:dyDescent="0.2">
      <c r="A230" s="204">
        <v>12</v>
      </c>
      <c r="B230" s="101" t="s">
        <v>537</v>
      </c>
      <c r="C230" s="102" t="s">
        <v>150</v>
      </c>
      <c r="D230" s="101" t="s">
        <v>241</v>
      </c>
      <c r="E230" s="103" t="s">
        <v>293</v>
      </c>
      <c r="F230" s="101" t="s">
        <v>240</v>
      </c>
      <c r="G230" s="101">
        <v>3</v>
      </c>
      <c r="H230" s="101">
        <v>4</v>
      </c>
      <c r="I230" s="101">
        <v>4</v>
      </c>
      <c r="J230" s="101">
        <f t="shared" si="113"/>
        <v>11</v>
      </c>
      <c r="K230" s="101" t="str">
        <f t="shared" si="114"/>
        <v>High</v>
      </c>
      <c r="L230" s="101" t="str">
        <f t="shared" si="112"/>
        <v>Internal</v>
      </c>
      <c r="M230" s="101" t="s">
        <v>291</v>
      </c>
    </row>
    <row r="231" spans="1:13" ht="30" x14ac:dyDescent="0.2">
      <c r="A231" s="204"/>
      <c r="B231" s="101" t="s">
        <v>537</v>
      </c>
      <c r="C231" s="102" t="s">
        <v>301</v>
      </c>
      <c r="D231" s="101" t="s">
        <v>826</v>
      </c>
      <c r="E231" s="103" t="s">
        <v>242</v>
      </c>
      <c r="F231" s="101" t="s">
        <v>240</v>
      </c>
      <c r="G231" s="101">
        <v>3</v>
      </c>
      <c r="H231" s="101">
        <v>4</v>
      </c>
      <c r="I231" s="101">
        <v>4</v>
      </c>
      <c r="J231" s="101">
        <f t="shared" si="113"/>
        <v>11</v>
      </c>
      <c r="K231" s="101" t="str">
        <f t="shared" si="114"/>
        <v>High</v>
      </c>
      <c r="L231" s="101" t="str">
        <f t="shared" si="112"/>
        <v>Internal</v>
      </c>
      <c r="M231" s="101" t="s">
        <v>291</v>
      </c>
    </row>
    <row r="232" spans="1:13" ht="30" x14ac:dyDescent="0.2">
      <c r="A232" s="204">
        <v>13</v>
      </c>
      <c r="B232" s="101" t="s">
        <v>537</v>
      </c>
      <c r="C232" s="102" t="s">
        <v>160</v>
      </c>
      <c r="D232" s="101" t="s">
        <v>241</v>
      </c>
      <c r="E232" s="103" t="s">
        <v>294</v>
      </c>
      <c r="F232" s="101" t="s">
        <v>240</v>
      </c>
      <c r="G232" s="101">
        <v>2</v>
      </c>
      <c r="H232" s="101">
        <v>4</v>
      </c>
      <c r="I232" s="101">
        <v>5</v>
      </c>
      <c r="J232" s="101">
        <f t="shared" si="113"/>
        <v>11</v>
      </c>
      <c r="K232" s="101" t="str">
        <f t="shared" si="114"/>
        <v>High</v>
      </c>
      <c r="L232" s="101" t="str">
        <f t="shared" si="112"/>
        <v>Internal</v>
      </c>
      <c r="M232" s="101" t="s">
        <v>320</v>
      </c>
    </row>
    <row r="233" spans="1:13" ht="15" x14ac:dyDescent="0.2">
      <c r="A233" s="204"/>
      <c r="B233" s="101" t="s">
        <v>537</v>
      </c>
      <c r="C233" s="102" t="s">
        <v>162</v>
      </c>
      <c r="D233" s="101" t="s">
        <v>241</v>
      </c>
      <c r="E233" s="103" t="s">
        <v>242</v>
      </c>
      <c r="F233" s="101" t="s">
        <v>240</v>
      </c>
      <c r="G233" s="101">
        <v>2</v>
      </c>
      <c r="H233" s="101">
        <v>4</v>
      </c>
      <c r="I233" s="101">
        <v>4</v>
      </c>
      <c r="J233" s="101">
        <f t="shared" si="113"/>
        <v>10</v>
      </c>
      <c r="K233" s="101" t="str">
        <f t="shared" si="114"/>
        <v>High</v>
      </c>
      <c r="L233" s="101" t="str">
        <f t="shared" si="112"/>
        <v>Internal</v>
      </c>
      <c r="M233" s="101" t="s">
        <v>320</v>
      </c>
    </row>
    <row r="234" spans="1:13" ht="15" x14ac:dyDescent="0.2">
      <c r="A234" s="205">
        <v>14</v>
      </c>
      <c r="B234" s="101" t="s">
        <v>537</v>
      </c>
      <c r="C234" s="102" t="s">
        <v>370</v>
      </c>
      <c r="D234" s="88">
        <v>20</v>
      </c>
      <c r="E234" s="103" t="s">
        <v>293</v>
      </c>
      <c r="F234" s="101" t="s">
        <v>240</v>
      </c>
      <c r="G234" s="101">
        <v>2</v>
      </c>
      <c r="H234" s="101">
        <v>4</v>
      </c>
      <c r="I234" s="101">
        <v>5</v>
      </c>
      <c r="J234" s="101">
        <f t="shared" si="113"/>
        <v>11</v>
      </c>
      <c r="K234" s="101" t="str">
        <f t="shared" si="114"/>
        <v>High</v>
      </c>
      <c r="L234" s="101" t="str">
        <f t="shared" si="112"/>
        <v>Internal</v>
      </c>
      <c r="M234" s="101" t="s">
        <v>320</v>
      </c>
    </row>
    <row r="235" spans="1:13" ht="15" x14ac:dyDescent="0.2">
      <c r="A235" s="206"/>
      <c r="B235" s="101" t="s">
        <v>537</v>
      </c>
      <c r="C235" s="102" t="s">
        <v>371</v>
      </c>
      <c r="D235" s="77">
        <v>1</v>
      </c>
      <c r="E235" s="103" t="s">
        <v>353</v>
      </c>
      <c r="F235" s="101" t="s">
        <v>240</v>
      </c>
      <c r="G235" s="101">
        <v>2</v>
      </c>
      <c r="H235" s="101">
        <v>3</v>
      </c>
      <c r="I235" s="101">
        <v>4</v>
      </c>
      <c r="J235" s="101">
        <f t="shared" si="113"/>
        <v>9</v>
      </c>
      <c r="K235" s="101" t="str">
        <f t="shared" si="114"/>
        <v>High</v>
      </c>
      <c r="L235" s="101" t="str">
        <f t="shared" si="112"/>
        <v>Internal</v>
      </c>
      <c r="M235" s="101" t="s">
        <v>320</v>
      </c>
    </row>
  </sheetData>
  <autoFilter ref="A2:M115" xr:uid="{C71A1967-EABD-4D7C-8CF5-66C1B34FCE77}"/>
  <mergeCells count="12">
    <mergeCell ref="A232:A233"/>
    <mergeCell ref="A234:A235"/>
    <mergeCell ref="A166:A222"/>
    <mergeCell ref="A1:M1"/>
    <mergeCell ref="A71:A73"/>
    <mergeCell ref="A77:A84"/>
    <mergeCell ref="A85:A88"/>
    <mergeCell ref="A90:A91"/>
    <mergeCell ref="A92:A94"/>
    <mergeCell ref="A226:A229"/>
    <mergeCell ref="A230:A231"/>
    <mergeCell ref="A3:A7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E7C85-F1DC-4150-A3A2-3A86A7081172}">
  <sheetPr codeName="Sheet2"/>
  <dimension ref="A1:AA29"/>
  <sheetViews>
    <sheetView zoomScaleNormal="100" workbookViewId="0">
      <pane xSplit="2" ySplit="3" topLeftCell="S4" activePane="bottomRight" state="frozen"/>
      <selection pane="topRight" activeCell="C1" sqref="C1"/>
      <selection pane="bottomLeft" activeCell="A4" sqref="A4"/>
      <selection pane="bottomRight" activeCell="P26" sqref="P26:P29"/>
    </sheetView>
  </sheetViews>
  <sheetFormatPr baseColWidth="10" defaultColWidth="9.1640625" defaultRowHeight="16" x14ac:dyDescent="0.15"/>
  <cols>
    <col min="1" max="1" width="5.5" style="8" customWidth="1"/>
    <col min="2" max="2" width="17.1640625" style="9" customWidth="1"/>
    <col min="3" max="3" width="12" style="9" customWidth="1"/>
    <col min="4" max="6" width="10.5" style="9" customWidth="1"/>
    <col min="7" max="8" width="10.83203125" style="8" customWidth="1"/>
    <col min="9" max="9" width="8.33203125" style="8" customWidth="1"/>
    <col min="10" max="10" width="11.5" style="8" customWidth="1"/>
    <col min="11" max="11" width="25.6640625" style="8" customWidth="1"/>
    <col min="12" max="12" width="22.83203125" style="8" customWidth="1"/>
    <col min="13" max="13" width="7.6640625" style="8" customWidth="1"/>
    <col min="14" max="14" width="15.6640625" style="8" customWidth="1"/>
    <col min="15" max="15" width="16.33203125" style="8" customWidth="1"/>
    <col min="16" max="16" width="11.5" style="8" customWidth="1"/>
    <col min="17" max="17" width="26.5" style="8" customWidth="1"/>
    <col min="18" max="26" width="16.33203125" style="8" customWidth="1"/>
    <col min="27" max="27" width="24.33203125" style="8" bestFit="1" customWidth="1"/>
    <col min="28" max="16384" width="9.1640625" style="8"/>
  </cols>
  <sheetData>
    <row r="1" spans="1:27" s="7" customFormat="1" x14ac:dyDescent="0.15">
      <c r="A1" s="152"/>
      <c r="B1" s="149"/>
      <c r="C1" s="149"/>
      <c r="D1" s="149"/>
      <c r="E1" s="149"/>
      <c r="F1" s="149"/>
      <c r="G1" s="149"/>
      <c r="H1" s="149"/>
      <c r="I1" s="149"/>
      <c r="J1" s="149"/>
      <c r="K1" s="149" t="s">
        <v>24</v>
      </c>
      <c r="L1" s="149"/>
      <c r="M1" s="149"/>
      <c r="N1" s="149"/>
      <c r="O1" s="149"/>
      <c r="P1" s="149"/>
      <c r="Q1" s="20"/>
      <c r="R1" s="149" t="s">
        <v>52</v>
      </c>
      <c r="S1" s="149"/>
      <c r="T1" s="149"/>
      <c r="U1" s="20"/>
      <c r="V1" s="20"/>
      <c r="W1" s="149" t="s">
        <v>55</v>
      </c>
      <c r="X1" s="149"/>
      <c r="Y1" s="149"/>
      <c r="Z1" s="149" t="s">
        <v>75</v>
      </c>
      <c r="AA1" s="150"/>
    </row>
    <row r="2" spans="1:27" s="7" customFormat="1" x14ac:dyDescent="0.15">
      <c r="A2" s="153" t="s">
        <v>0</v>
      </c>
      <c r="B2" s="155" t="s">
        <v>236</v>
      </c>
      <c r="C2" s="21"/>
      <c r="D2" s="21"/>
      <c r="E2" s="21"/>
      <c r="F2" s="21"/>
      <c r="G2" s="157" t="s">
        <v>4</v>
      </c>
      <c r="H2" s="157"/>
      <c r="I2" s="157"/>
      <c r="J2" s="158" t="s">
        <v>834</v>
      </c>
      <c r="K2" s="151" t="s">
        <v>25</v>
      </c>
      <c r="L2" s="151"/>
      <c r="M2" s="151"/>
      <c r="N2" s="151"/>
      <c r="O2" s="151"/>
      <c r="P2" s="58" t="s">
        <v>6</v>
      </c>
      <c r="Q2" s="21" t="s">
        <v>53</v>
      </c>
      <c r="R2" s="21" t="s">
        <v>32</v>
      </c>
      <c r="S2" s="21" t="s">
        <v>34</v>
      </c>
      <c r="T2" s="160" t="s">
        <v>39</v>
      </c>
      <c r="U2" s="161"/>
      <c r="V2" s="21" t="s">
        <v>37</v>
      </c>
      <c r="W2" s="21" t="s">
        <v>46</v>
      </c>
      <c r="X2" s="21" t="s">
        <v>48</v>
      </c>
      <c r="Y2" s="21" t="s">
        <v>54</v>
      </c>
      <c r="Z2" s="21" t="s">
        <v>51</v>
      </c>
      <c r="AA2" s="22" t="s">
        <v>76</v>
      </c>
    </row>
    <row r="3" spans="1:27" s="7" customFormat="1" ht="30" customHeight="1" thickBot="1" x14ac:dyDescent="0.2">
      <c r="A3" s="154"/>
      <c r="B3" s="156"/>
      <c r="C3" s="36" t="s">
        <v>57</v>
      </c>
      <c r="D3" s="36" t="s">
        <v>235</v>
      </c>
      <c r="E3" s="36" t="s">
        <v>237</v>
      </c>
      <c r="F3" s="36" t="s">
        <v>238</v>
      </c>
      <c r="G3" s="23" t="s">
        <v>7</v>
      </c>
      <c r="H3" s="24" t="s">
        <v>8</v>
      </c>
      <c r="I3" s="23" t="s">
        <v>77</v>
      </c>
      <c r="J3" s="159"/>
      <c r="K3" s="25" t="s">
        <v>26</v>
      </c>
      <c r="L3" s="110" t="s">
        <v>27</v>
      </c>
      <c r="M3" s="25" t="s">
        <v>29</v>
      </c>
      <c r="N3" s="25" t="s">
        <v>30</v>
      </c>
      <c r="O3" s="25" t="s">
        <v>31</v>
      </c>
      <c r="P3" s="59"/>
      <c r="Q3" s="25" t="s">
        <v>28</v>
      </c>
      <c r="R3" s="25" t="s">
        <v>33</v>
      </c>
      <c r="S3" s="25" t="s">
        <v>35</v>
      </c>
      <c r="T3" s="25" t="s">
        <v>233</v>
      </c>
      <c r="U3" s="25" t="s">
        <v>234</v>
      </c>
      <c r="V3" s="25" t="s">
        <v>38</v>
      </c>
      <c r="W3" s="25" t="s">
        <v>47</v>
      </c>
      <c r="X3" s="25" t="s">
        <v>49</v>
      </c>
      <c r="Y3" s="25" t="s">
        <v>50</v>
      </c>
      <c r="Z3" s="26" t="s">
        <v>257</v>
      </c>
      <c r="AA3" s="26" t="s">
        <v>78</v>
      </c>
    </row>
    <row r="4" spans="1:27" ht="60" x14ac:dyDescent="0.15">
      <c r="A4" s="163">
        <v>1</v>
      </c>
      <c r="B4" s="61" t="s">
        <v>451</v>
      </c>
      <c r="C4" s="61" t="s">
        <v>322</v>
      </c>
      <c r="D4" s="163">
        <v>1</v>
      </c>
      <c r="E4" s="56" t="s">
        <v>239</v>
      </c>
      <c r="F4" s="56" t="s">
        <v>240</v>
      </c>
      <c r="G4" s="56">
        <v>4</v>
      </c>
      <c r="H4" s="56">
        <v>3</v>
      </c>
      <c r="I4" s="56">
        <v>3</v>
      </c>
      <c r="J4" s="56">
        <f>(I4+H4+G4)</f>
        <v>10</v>
      </c>
      <c r="K4" s="64" t="s">
        <v>621</v>
      </c>
      <c r="L4" s="64" t="s">
        <v>623</v>
      </c>
      <c r="M4" s="27">
        <v>3</v>
      </c>
      <c r="N4" s="27">
        <v>2</v>
      </c>
      <c r="O4" s="27">
        <f>J4*M4*N4</f>
        <v>60</v>
      </c>
      <c r="P4" s="28" t="str">
        <f>IF(O4&lt;=94,"Low",IF(AND(O4&gt;94,O4&lt;=188),"Medium",IF(AND(O4&gt;188,O4&lt;=282),"High",IF(AND(O4&gt;282,O4&lt;=375),"Critical","Error"))))</f>
        <v>Low</v>
      </c>
      <c r="Q4" s="64" t="s">
        <v>625</v>
      </c>
      <c r="R4" s="27" t="str">
        <f>IF(O4&gt;94,"No","Yes")</f>
        <v>Yes</v>
      </c>
      <c r="S4" s="27" t="str">
        <f>IF(R4="Yes","Accept","Mitigate")</f>
        <v>Accept</v>
      </c>
      <c r="T4" s="27" t="s">
        <v>17</v>
      </c>
      <c r="U4" s="27" t="s">
        <v>241</v>
      </c>
      <c r="V4" s="62" t="s">
        <v>615</v>
      </c>
      <c r="W4" s="27" t="s">
        <v>241</v>
      </c>
      <c r="X4" s="27" t="s">
        <v>241</v>
      </c>
      <c r="Y4" s="30" t="s">
        <v>241</v>
      </c>
      <c r="Z4" s="27" t="s">
        <v>241</v>
      </c>
      <c r="AA4" s="27" t="s">
        <v>241</v>
      </c>
    </row>
    <row r="5" spans="1:27" ht="45" customHeight="1" x14ac:dyDescent="0.15">
      <c r="A5" s="164"/>
      <c r="B5" s="57" t="s">
        <v>451</v>
      </c>
      <c r="C5" s="57" t="s">
        <v>322</v>
      </c>
      <c r="D5" s="148"/>
      <c r="E5" s="30" t="s">
        <v>239</v>
      </c>
      <c r="F5" s="30" t="s">
        <v>240</v>
      </c>
      <c r="G5" s="30">
        <v>4</v>
      </c>
      <c r="H5" s="30">
        <v>3</v>
      </c>
      <c r="I5" s="30">
        <v>3</v>
      </c>
      <c r="J5" s="30">
        <f>(I5+H5+G5)</f>
        <v>10</v>
      </c>
      <c r="K5" s="63" t="s">
        <v>622</v>
      </c>
      <c r="L5" s="63" t="s">
        <v>624</v>
      </c>
      <c r="M5" s="30">
        <v>4</v>
      </c>
      <c r="N5" s="30">
        <v>1</v>
      </c>
      <c r="O5" s="30">
        <f>J4*M5*N5</f>
        <v>40</v>
      </c>
      <c r="P5" s="28" t="str">
        <f t="shared" ref="P5:P29" si="0">IF(O5&lt;=94,"Low",IF(AND(O5&gt;94,O5&lt;=188),"Medium",IF(AND(O5&gt;188,O5&lt;=282),"High",IF(AND(O5&gt;282,O5&lt;=375),"Critical","Error"))))</f>
        <v>Low</v>
      </c>
      <c r="Q5" s="63" t="s">
        <v>626</v>
      </c>
      <c r="R5" s="30" t="str">
        <f t="shared" ref="R5:R13" si="1">IF(O5&gt;94,"No","Yes")</f>
        <v>Yes</v>
      </c>
      <c r="S5" s="30" t="str">
        <f>IF(R5="Yes","Accept","Mitigate")</f>
        <v>Accept</v>
      </c>
      <c r="T5" s="30" t="s">
        <v>17</v>
      </c>
      <c r="U5" s="27" t="s">
        <v>241</v>
      </c>
      <c r="V5" s="62" t="s">
        <v>615</v>
      </c>
      <c r="W5" s="27" t="s">
        <v>241</v>
      </c>
      <c r="X5" s="27" t="s">
        <v>241</v>
      </c>
      <c r="Y5" s="30" t="s">
        <v>241</v>
      </c>
      <c r="Z5" s="27" t="s">
        <v>241</v>
      </c>
      <c r="AA5" s="27" t="s">
        <v>241</v>
      </c>
    </row>
    <row r="6" spans="1:27" ht="48" x14ac:dyDescent="0.15">
      <c r="A6" s="147">
        <v>2</v>
      </c>
      <c r="B6" s="34" t="s">
        <v>616</v>
      </c>
      <c r="C6" s="30" t="s">
        <v>322</v>
      </c>
      <c r="D6" s="147">
        <v>1</v>
      </c>
      <c r="E6" s="34" t="s">
        <v>239</v>
      </c>
      <c r="F6" s="34" t="s">
        <v>240</v>
      </c>
      <c r="G6" s="34">
        <v>4</v>
      </c>
      <c r="H6" s="34">
        <v>3</v>
      </c>
      <c r="I6" s="34">
        <v>3</v>
      </c>
      <c r="J6" s="34">
        <f t="shared" ref="J6:J20" si="2">(I6+H6+G6)</f>
        <v>10</v>
      </c>
      <c r="K6" s="64" t="s">
        <v>621</v>
      </c>
      <c r="L6" s="64" t="s">
        <v>623</v>
      </c>
      <c r="M6" s="30">
        <v>3</v>
      </c>
      <c r="N6" s="30">
        <v>2</v>
      </c>
      <c r="O6" s="30">
        <f>J6*M6*N6</f>
        <v>60</v>
      </c>
      <c r="P6" s="28" t="str">
        <f t="shared" si="0"/>
        <v>Low</v>
      </c>
      <c r="Q6" s="64" t="s">
        <v>627</v>
      </c>
      <c r="R6" s="30" t="str">
        <f t="shared" si="1"/>
        <v>Yes</v>
      </c>
      <c r="S6" s="30" t="str">
        <f t="shared" ref="S6:S29" si="3">IF(R6="Yes","Accept","Mitigate")</f>
        <v>Accept</v>
      </c>
      <c r="T6" s="30" t="s">
        <v>17</v>
      </c>
      <c r="U6" s="27" t="s">
        <v>241</v>
      </c>
      <c r="V6" s="30" t="s">
        <v>617</v>
      </c>
      <c r="W6" s="27" t="s">
        <v>241</v>
      </c>
      <c r="X6" s="27" t="s">
        <v>241</v>
      </c>
      <c r="Y6" s="30" t="s">
        <v>241</v>
      </c>
      <c r="Z6" s="27" t="s">
        <v>241</v>
      </c>
      <c r="AA6" s="27" t="s">
        <v>241</v>
      </c>
    </row>
    <row r="7" spans="1:27" ht="48" x14ac:dyDescent="0.15">
      <c r="A7" s="148"/>
      <c r="B7" s="34" t="s">
        <v>616</v>
      </c>
      <c r="C7" s="30" t="s">
        <v>322</v>
      </c>
      <c r="D7" s="148"/>
      <c r="E7" s="34" t="s">
        <v>239</v>
      </c>
      <c r="F7" s="34" t="s">
        <v>240</v>
      </c>
      <c r="G7" s="34">
        <v>4</v>
      </c>
      <c r="H7" s="34">
        <v>3</v>
      </c>
      <c r="I7" s="34">
        <v>3</v>
      </c>
      <c r="J7" s="34">
        <f>(I7+H7+G7)</f>
        <v>10</v>
      </c>
      <c r="K7" s="63" t="s">
        <v>622</v>
      </c>
      <c r="L7" s="63" t="s">
        <v>624</v>
      </c>
      <c r="M7" s="30">
        <v>4</v>
      </c>
      <c r="N7" s="30">
        <v>1</v>
      </c>
      <c r="O7" s="30">
        <f>J6*M7*N7</f>
        <v>40</v>
      </c>
      <c r="P7" s="28" t="str">
        <f t="shared" si="0"/>
        <v>Low</v>
      </c>
      <c r="Q7" s="63" t="s">
        <v>626</v>
      </c>
      <c r="R7" s="30" t="str">
        <f t="shared" si="1"/>
        <v>Yes</v>
      </c>
      <c r="S7" s="30" t="str">
        <f t="shared" si="3"/>
        <v>Accept</v>
      </c>
      <c r="T7" s="30" t="s">
        <v>17</v>
      </c>
      <c r="U7" s="27" t="s">
        <v>241</v>
      </c>
      <c r="V7" s="30" t="s">
        <v>617</v>
      </c>
      <c r="W7" s="27" t="s">
        <v>241</v>
      </c>
      <c r="X7" s="27" t="s">
        <v>241</v>
      </c>
      <c r="Y7" s="30" t="s">
        <v>241</v>
      </c>
      <c r="Z7" s="27" t="s">
        <v>241</v>
      </c>
      <c r="AA7" s="27" t="s">
        <v>241</v>
      </c>
    </row>
    <row r="8" spans="1:27" ht="48" x14ac:dyDescent="0.15">
      <c r="A8" s="162">
        <v>3</v>
      </c>
      <c r="B8" s="30" t="s">
        <v>656</v>
      </c>
      <c r="C8" s="30" t="s">
        <v>322</v>
      </c>
      <c r="D8" s="147" t="s">
        <v>618</v>
      </c>
      <c r="E8" s="34" t="s">
        <v>239</v>
      </c>
      <c r="F8" s="34" t="s">
        <v>240</v>
      </c>
      <c r="G8" s="30">
        <v>4</v>
      </c>
      <c r="H8" s="30">
        <v>3</v>
      </c>
      <c r="I8" s="30">
        <v>3</v>
      </c>
      <c r="J8" s="30">
        <f t="shared" si="2"/>
        <v>10</v>
      </c>
      <c r="K8" s="64" t="s">
        <v>621</v>
      </c>
      <c r="L8" s="64" t="s">
        <v>623</v>
      </c>
      <c r="M8" s="30">
        <v>3</v>
      </c>
      <c r="N8" s="30">
        <v>2</v>
      </c>
      <c r="O8" s="30">
        <f>J8*M8*N8</f>
        <v>60</v>
      </c>
      <c r="P8" s="28" t="str">
        <f t="shared" si="0"/>
        <v>Low</v>
      </c>
      <c r="Q8" s="64" t="s">
        <v>627</v>
      </c>
      <c r="R8" s="30" t="str">
        <f t="shared" si="1"/>
        <v>Yes</v>
      </c>
      <c r="S8" s="30" t="str">
        <f t="shared" si="3"/>
        <v>Accept</v>
      </c>
      <c r="T8" s="30" t="s">
        <v>17</v>
      </c>
      <c r="U8" s="27" t="s">
        <v>241</v>
      </c>
      <c r="V8" s="30" t="s">
        <v>617</v>
      </c>
      <c r="W8" s="27" t="s">
        <v>241</v>
      </c>
      <c r="X8" s="27" t="s">
        <v>241</v>
      </c>
      <c r="Y8" s="30" t="s">
        <v>241</v>
      </c>
      <c r="Z8" s="27" t="s">
        <v>241</v>
      </c>
      <c r="AA8" s="27" t="s">
        <v>241</v>
      </c>
    </row>
    <row r="9" spans="1:27" ht="48" x14ac:dyDescent="0.15">
      <c r="A9" s="162"/>
      <c r="B9" s="30" t="s">
        <v>656</v>
      </c>
      <c r="C9" s="30" t="s">
        <v>322</v>
      </c>
      <c r="D9" s="148"/>
      <c r="E9" s="34" t="s">
        <v>239</v>
      </c>
      <c r="F9" s="34" t="s">
        <v>240</v>
      </c>
      <c r="G9" s="30">
        <v>4</v>
      </c>
      <c r="H9" s="30">
        <v>3</v>
      </c>
      <c r="I9" s="30">
        <v>3</v>
      </c>
      <c r="J9" s="30">
        <f>(I9+H9+G9)</f>
        <v>10</v>
      </c>
      <c r="K9" s="63" t="s">
        <v>622</v>
      </c>
      <c r="L9" s="63" t="s">
        <v>624</v>
      </c>
      <c r="M9" s="30">
        <v>4</v>
      </c>
      <c r="N9" s="30">
        <v>1</v>
      </c>
      <c r="O9" s="30">
        <f>J8*M9*N9</f>
        <v>40</v>
      </c>
      <c r="P9" s="28" t="str">
        <f t="shared" si="0"/>
        <v>Low</v>
      </c>
      <c r="Q9" s="63" t="s">
        <v>626</v>
      </c>
      <c r="R9" s="30" t="str">
        <f t="shared" si="1"/>
        <v>Yes</v>
      </c>
      <c r="S9" s="30" t="str">
        <f t="shared" si="3"/>
        <v>Accept</v>
      </c>
      <c r="T9" s="30" t="s">
        <v>17</v>
      </c>
      <c r="U9" s="27" t="s">
        <v>241</v>
      </c>
      <c r="V9" s="30" t="s">
        <v>617</v>
      </c>
      <c r="W9" s="27" t="s">
        <v>241</v>
      </c>
      <c r="X9" s="27" t="s">
        <v>241</v>
      </c>
      <c r="Y9" s="30" t="s">
        <v>241</v>
      </c>
      <c r="Z9" s="27" t="s">
        <v>241</v>
      </c>
      <c r="AA9" s="27" t="s">
        <v>241</v>
      </c>
    </row>
    <row r="10" spans="1:27" ht="48" x14ac:dyDescent="0.15">
      <c r="A10" s="162">
        <v>4</v>
      </c>
      <c r="B10" s="30" t="s">
        <v>657</v>
      </c>
      <c r="C10" s="30" t="s">
        <v>322</v>
      </c>
      <c r="D10" s="147" t="s">
        <v>618</v>
      </c>
      <c r="E10" s="34" t="s">
        <v>239</v>
      </c>
      <c r="F10" s="34" t="s">
        <v>240</v>
      </c>
      <c r="G10" s="30">
        <v>4</v>
      </c>
      <c r="H10" s="30">
        <v>3</v>
      </c>
      <c r="I10" s="30">
        <v>3</v>
      </c>
      <c r="J10" s="30">
        <f t="shared" ref="J10" si="4">(I10+H10+G10)</f>
        <v>10</v>
      </c>
      <c r="K10" s="64" t="s">
        <v>621</v>
      </c>
      <c r="L10" s="64" t="s">
        <v>623</v>
      </c>
      <c r="M10" s="30">
        <v>3</v>
      </c>
      <c r="N10" s="30">
        <v>2</v>
      </c>
      <c r="O10" s="30">
        <f>J10*M10*N10</f>
        <v>60</v>
      </c>
      <c r="P10" s="28" t="str">
        <f t="shared" ref="P10:P11" si="5">IF(O10&lt;=94,"Low",IF(AND(O10&gt;94,O10&lt;=188),"Medium",IF(AND(O10&gt;188,O10&lt;=282),"High",IF(AND(O10&gt;282,O10&lt;=375),"Critical","Error"))))</f>
        <v>Low</v>
      </c>
      <c r="Q10" s="64" t="s">
        <v>627</v>
      </c>
      <c r="R10" s="30" t="str">
        <f t="shared" ref="R10:R11" si="6">IF(O10&gt;94,"No","Yes")</f>
        <v>Yes</v>
      </c>
      <c r="S10" s="30" t="str">
        <f t="shared" ref="S10:S11" si="7">IF(R10="Yes","Accept","Mitigate")</f>
        <v>Accept</v>
      </c>
      <c r="T10" s="30" t="s">
        <v>17</v>
      </c>
      <c r="U10" s="27" t="s">
        <v>241</v>
      </c>
      <c r="V10" s="30" t="s">
        <v>617</v>
      </c>
      <c r="W10" s="27" t="s">
        <v>241</v>
      </c>
      <c r="X10" s="27" t="s">
        <v>241</v>
      </c>
      <c r="Y10" s="30" t="s">
        <v>241</v>
      </c>
      <c r="Z10" s="27" t="s">
        <v>241</v>
      </c>
      <c r="AA10" s="27" t="s">
        <v>241</v>
      </c>
    </row>
    <row r="11" spans="1:27" ht="39" customHeight="1" x14ac:dyDescent="0.15">
      <c r="A11" s="162"/>
      <c r="B11" s="30" t="s">
        <v>657</v>
      </c>
      <c r="C11" s="30" t="s">
        <v>322</v>
      </c>
      <c r="D11" s="148"/>
      <c r="E11" s="34" t="s">
        <v>239</v>
      </c>
      <c r="F11" s="34" t="s">
        <v>240</v>
      </c>
      <c r="G11" s="30">
        <v>4</v>
      </c>
      <c r="H11" s="30">
        <v>3</v>
      </c>
      <c r="I11" s="30">
        <v>3</v>
      </c>
      <c r="J11" s="30">
        <f>(I11+H11+G11)</f>
        <v>10</v>
      </c>
      <c r="K11" s="63" t="s">
        <v>622</v>
      </c>
      <c r="L11" s="63" t="s">
        <v>624</v>
      </c>
      <c r="M11" s="30">
        <v>4</v>
      </c>
      <c r="N11" s="30">
        <v>1</v>
      </c>
      <c r="O11" s="30">
        <f>J10*M11*N11</f>
        <v>40</v>
      </c>
      <c r="P11" s="28" t="str">
        <f t="shared" si="5"/>
        <v>Low</v>
      </c>
      <c r="Q11" s="63" t="s">
        <v>626</v>
      </c>
      <c r="R11" s="30" t="str">
        <f t="shared" si="6"/>
        <v>Yes</v>
      </c>
      <c r="S11" s="30" t="str">
        <f t="shared" si="7"/>
        <v>Accept</v>
      </c>
      <c r="T11" s="30" t="s">
        <v>17</v>
      </c>
      <c r="U11" s="27" t="s">
        <v>241</v>
      </c>
      <c r="V11" s="30" t="s">
        <v>617</v>
      </c>
      <c r="W11" s="27" t="s">
        <v>241</v>
      </c>
      <c r="X11" s="27" t="s">
        <v>241</v>
      </c>
      <c r="Y11" s="30" t="s">
        <v>241</v>
      </c>
      <c r="Z11" s="27" t="s">
        <v>241</v>
      </c>
      <c r="AA11" s="27" t="s">
        <v>241</v>
      </c>
    </row>
    <row r="12" spans="1:27" ht="48" x14ac:dyDescent="0.15">
      <c r="A12" s="162">
        <v>5</v>
      </c>
      <c r="B12" s="30" t="s">
        <v>619</v>
      </c>
      <c r="C12" s="30" t="s">
        <v>322</v>
      </c>
      <c r="D12" s="147">
        <v>2</v>
      </c>
      <c r="E12" s="34" t="s">
        <v>239</v>
      </c>
      <c r="F12" s="34" t="s">
        <v>240</v>
      </c>
      <c r="G12" s="30">
        <v>4</v>
      </c>
      <c r="H12" s="30">
        <v>3</v>
      </c>
      <c r="I12" s="30">
        <v>3</v>
      </c>
      <c r="J12" s="30">
        <f>G12+H12+I12</f>
        <v>10</v>
      </c>
      <c r="K12" s="64" t="s">
        <v>621</v>
      </c>
      <c r="L12" s="64" t="s">
        <v>623</v>
      </c>
      <c r="M12" s="30">
        <v>3</v>
      </c>
      <c r="N12" s="30">
        <v>2</v>
      </c>
      <c r="O12" s="30">
        <f>J12*M12*N12</f>
        <v>60</v>
      </c>
      <c r="P12" s="28" t="str">
        <f t="shared" si="0"/>
        <v>Low</v>
      </c>
      <c r="Q12" s="64" t="s">
        <v>628</v>
      </c>
      <c r="R12" s="30" t="str">
        <f t="shared" si="1"/>
        <v>Yes</v>
      </c>
      <c r="S12" s="30" t="str">
        <f t="shared" ref="S12:S19" si="8">IF(R12="Yes","Accept","Mitigate")</f>
        <v>Accept</v>
      </c>
      <c r="T12" s="30" t="s">
        <v>17</v>
      </c>
      <c r="U12" s="27" t="s">
        <v>241</v>
      </c>
      <c r="V12" s="30" t="s">
        <v>620</v>
      </c>
      <c r="W12" s="27" t="s">
        <v>241</v>
      </c>
      <c r="X12" s="27" t="s">
        <v>241</v>
      </c>
      <c r="Y12" s="30" t="s">
        <v>241</v>
      </c>
      <c r="Z12" s="27" t="s">
        <v>241</v>
      </c>
      <c r="AA12" s="27" t="s">
        <v>241</v>
      </c>
    </row>
    <row r="13" spans="1:27" ht="42" customHeight="1" x14ac:dyDescent="0.15">
      <c r="A13" s="162"/>
      <c r="B13" s="30" t="s">
        <v>619</v>
      </c>
      <c r="C13" s="57" t="s">
        <v>322</v>
      </c>
      <c r="D13" s="148"/>
      <c r="E13" s="34" t="s">
        <v>239</v>
      </c>
      <c r="F13" s="34" t="s">
        <v>240</v>
      </c>
      <c r="G13" s="30">
        <v>4</v>
      </c>
      <c r="H13" s="30">
        <v>3</v>
      </c>
      <c r="I13" s="30">
        <v>3</v>
      </c>
      <c r="J13" s="30">
        <f>G13+H13+I13</f>
        <v>10</v>
      </c>
      <c r="K13" s="63" t="s">
        <v>622</v>
      </c>
      <c r="L13" s="63" t="s">
        <v>624</v>
      </c>
      <c r="M13" s="30">
        <v>4</v>
      </c>
      <c r="N13" s="30">
        <v>1</v>
      </c>
      <c r="O13" s="30">
        <f>J12*M13*N13</f>
        <v>40</v>
      </c>
      <c r="P13" s="28" t="str">
        <f t="shared" si="0"/>
        <v>Low</v>
      </c>
      <c r="Q13" s="63" t="s">
        <v>626</v>
      </c>
      <c r="R13" s="30" t="str">
        <f t="shared" si="1"/>
        <v>Yes</v>
      </c>
      <c r="S13" s="30" t="str">
        <f t="shared" si="8"/>
        <v>Accept</v>
      </c>
      <c r="T13" s="30" t="s">
        <v>17</v>
      </c>
      <c r="U13" s="27" t="s">
        <v>241</v>
      </c>
      <c r="V13" s="30" t="s">
        <v>617</v>
      </c>
      <c r="W13" s="27" t="s">
        <v>241</v>
      </c>
      <c r="X13" s="27" t="s">
        <v>241</v>
      </c>
      <c r="Y13" s="30" t="s">
        <v>241</v>
      </c>
      <c r="Z13" s="27" t="s">
        <v>241</v>
      </c>
      <c r="AA13" s="27" t="s">
        <v>241</v>
      </c>
    </row>
    <row r="14" spans="1:27" ht="48" x14ac:dyDescent="0.15">
      <c r="A14" s="162">
        <v>6</v>
      </c>
      <c r="B14" s="30" t="s">
        <v>341</v>
      </c>
      <c r="C14" s="30" t="s">
        <v>322</v>
      </c>
      <c r="D14" s="147">
        <v>1</v>
      </c>
      <c r="E14" s="34" t="s">
        <v>239</v>
      </c>
      <c r="F14" s="34" t="s">
        <v>240</v>
      </c>
      <c r="G14" s="30">
        <v>4</v>
      </c>
      <c r="H14" s="30">
        <v>3</v>
      </c>
      <c r="I14" s="30">
        <v>3</v>
      </c>
      <c r="J14" s="30">
        <f>G14+H14+I14</f>
        <v>10</v>
      </c>
      <c r="K14" s="64" t="s">
        <v>621</v>
      </c>
      <c r="L14" s="64" t="s">
        <v>623</v>
      </c>
      <c r="M14" s="30">
        <v>3</v>
      </c>
      <c r="N14" s="30">
        <v>3</v>
      </c>
      <c r="O14" s="30">
        <f>J14*M14*N14</f>
        <v>90</v>
      </c>
      <c r="P14" s="28" t="str">
        <f t="shared" ref="P14:P15" si="9">IF(O14&lt;=94,"Low",IF(AND(O14&gt;94,O14&lt;=188),"Medium",IF(AND(O14&gt;188,O14&lt;=282),"High",IF(AND(O14&gt;282,O14&lt;=375),"Critical","Error"))))</f>
        <v>Low</v>
      </c>
      <c r="Q14" s="64" t="s">
        <v>629</v>
      </c>
      <c r="R14" s="30" t="str">
        <f t="shared" ref="R14:R15" si="10">IF(O14&gt;94,"No","Yes")</f>
        <v>Yes</v>
      </c>
      <c r="S14" s="30" t="str">
        <f t="shared" ref="S14:S15" si="11">IF(R14="Yes","Accept","Mitigate")</f>
        <v>Accept</v>
      </c>
      <c r="T14" s="30" t="s">
        <v>17</v>
      </c>
      <c r="U14" s="27" t="s">
        <v>241</v>
      </c>
      <c r="V14" s="30" t="s">
        <v>620</v>
      </c>
      <c r="W14" s="27" t="s">
        <v>241</v>
      </c>
      <c r="X14" s="27" t="s">
        <v>241</v>
      </c>
      <c r="Y14" s="30" t="s">
        <v>241</v>
      </c>
      <c r="Z14" s="27" t="s">
        <v>241</v>
      </c>
      <c r="AA14" s="27" t="s">
        <v>241</v>
      </c>
    </row>
    <row r="15" spans="1:27" ht="42" customHeight="1" x14ac:dyDescent="0.15">
      <c r="A15" s="162"/>
      <c r="B15" s="30" t="s">
        <v>341</v>
      </c>
      <c r="C15" s="57" t="s">
        <v>322</v>
      </c>
      <c r="D15" s="148"/>
      <c r="E15" s="34" t="s">
        <v>239</v>
      </c>
      <c r="F15" s="34" t="s">
        <v>240</v>
      </c>
      <c r="G15" s="30">
        <v>4</v>
      </c>
      <c r="H15" s="30">
        <v>3</v>
      </c>
      <c r="I15" s="30">
        <v>3</v>
      </c>
      <c r="J15" s="30">
        <f>G15+H15+I15</f>
        <v>10</v>
      </c>
      <c r="K15" s="63" t="s">
        <v>622</v>
      </c>
      <c r="L15" s="63" t="s">
        <v>624</v>
      </c>
      <c r="M15" s="30">
        <v>4</v>
      </c>
      <c r="N15" s="30">
        <v>1</v>
      </c>
      <c r="O15" s="30">
        <f>J14*M15*N15</f>
        <v>40</v>
      </c>
      <c r="P15" s="28" t="str">
        <f t="shared" si="9"/>
        <v>Low</v>
      </c>
      <c r="Q15" s="63" t="s">
        <v>626</v>
      </c>
      <c r="R15" s="30" t="str">
        <f t="shared" si="10"/>
        <v>Yes</v>
      </c>
      <c r="S15" s="30" t="str">
        <f t="shared" si="11"/>
        <v>Accept</v>
      </c>
      <c r="T15" s="30" t="s">
        <v>17</v>
      </c>
      <c r="U15" s="27" t="s">
        <v>241</v>
      </c>
      <c r="V15" s="30" t="s">
        <v>617</v>
      </c>
      <c r="W15" s="27" t="s">
        <v>241</v>
      </c>
      <c r="X15" s="27" t="s">
        <v>241</v>
      </c>
      <c r="Y15" s="30" t="s">
        <v>241</v>
      </c>
      <c r="Z15" s="27" t="s">
        <v>241</v>
      </c>
      <c r="AA15" s="27" t="s">
        <v>241</v>
      </c>
    </row>
    <row r="16" spans="1:27" ht="48" x14ac:dyDescent="0.15">
      <c r="A16" s="162">
        <v>7</v>
      </c>
      <c r="B16" s="30" t="s">
        <v>630</v>
      </c>
      <c r="C16" s="30" t="s">
        <v>631</v>
      </c>
      <c r="D16" s="147">
        <v>1</v>
      </c>
      <c r="E16" s="34" t="s">
        <v>239</v>
      </c>
      <c r="F16" s="34" t="s">
        <v>240</v>
      </c>
      <c r="G16" s="30">
        <v>4</v>
      </c>
      <c r="H16" s="30">
        <v>3</v>
      </c>
      <c r="I16" s="30">
        <v>3</v>
      </c>
      <c r="J16" s="30">
        <f t="shared" si="2"/>
        <v>10</v>
      </c>
      <c r="K16" s="64" t="s">
        <v>621</v>
      </c>
      <c r="L16" s="64" t="s">
        <v>623</v>
      </c>
      <c r="M16" s="30">
        <v>3</v>
      </c>
      <c r="N16" s="30">
        <v>3</v>
      </c>
      <c r="O16" s="30">
        <f>J16*M16*N16</f>
        <v>90</v>
      </c>
      <c r="P16" s="28" t="str">
        <f t="shared" si="0"/>
        <v>Low</v>
      </c>
      <c r="Q16" s="64" t="s">
        <v>628</v>
      </c>
      <c r="R16" s="30" t="str">
        <f t="shared" ref="R16:R29" si="12">IF(O16&gt;94,"No","Yes")</f>
        <v>Yes</v>
      </c>
      <c r="S16" s="30" t="str">
        <f t="shared" si="8"/>
        <v>Accept</v>
      </c>
      <c r="T16" s="30" t="s">
        <v>17</v>
      </c>
      <c r="U16" s="27" t="s">
        <v>241</v>
      </c>
      <c r="V16" s="30" t="s">
        <v>632</v>
      </c>
      <c r="W16" s="27" t="s">
        <v>241</v>
      </c>
      <c r="X16" s="27" t="s">
        <v>241</v>
      </c>
      <c r="Y16" s="30" t="s">
        <v>241</v>
      </c>
      <c r="Z16" s="27" t="s">
        <v>241</v>
      </c>
      <c r="AA16" s="27" t="s">
        <v>241</v>
      </c>
    </row>
    <row r="17" spans="1:27" ht="48" x14ac:dyDescent="0.15">
      <c r="A17" s="162"/>
      <c r="B17" s="30" t="s">
        <v>630</v>
      </c>
      <c r="C17" s="30" t="s">
        <v>631</v>
      </c>
      <c r="D17" s="148"/>
      <c r="E17" s="34" t="s">
        <v>239</v>
      </c>
      <c r="F17" s="34" t="s">
        <v>240</v>
      </c>
      <c r="G17" s="30">
        <v>4</v>
      </c>
      <c r="H17" s="30">
        <v>3</v>
      </c>
      <c r="I17" s="30">
        <v>3</v>
      </c>
      <c r="J17" s="30">
        <f>(I17+H17+G17)</f>
        <v>10</v>
      </c>
      <c r="K17" s="63" t="s">
        <v>622</v>
      </c>
      <c r="L17" s="63" t="s">
        <v>624</v>
      </c>
      <c r="M17" s="30">
        <v>4</v>
      </c>
      <c r="N17" s="30">
        <v>1</v>
      </c>
      <c r="O17" s="30">
        <f>J16*M17*N17</f>
        <v>40</v>
      </c>
      <c r="P17" s="28" t="str">
        <f t="shared" si="0"/>
        <v>Low</v>
      </c>
      <c r="Q17" s="63" t="s">
        <v>626</v>
      </c>
      <c r="R17" s="30" t="str">
        <f t="shared" si="12"/>
        <v>Yes</v>
      </c>
      <c r="S17" s="30" t="str">
        <f t="shared" si="8"/>
        <v>Accept</v>
      </c>
      <c r="T17" s="30" t="s">
        <v>17</v>
      </c>
      <c r="U17" s="27" t="s">
        <v>241</v>
      </c>
      <c r="V17" s="30" t="s">
        <v>617</v>
      </c>
      <c r="W17" s="27" t="s">
        <v>241</v>
      </c>
      <c r="X17" s="27" t="s">
        <v>241</v>
      </c>
      <c r="Y17" s="30" t="s">
        <v>241</v>
      </c>
      <c r="Z17" s="27" t="s">
        <v>241</v>
      </c>
      <c r="AA17" s="27" t="s">
        <v>241</v>
      </c>
    </row>
    <row r="18" spans="1:27" ht="48" x14ac:dyDescent="0.15">
      <c r="A18" s="162">
        <v>8</v>
      </c>
      <c r="B18" s="30" t="s">
        <v>73</v>
      </c>
      <c r="C18" s="30" t="s">
        <v>323</v>
      </c>
      <c r="D18" s="147">
        <v>3</v>
      </c>
      <c r="E18" s="34" t="s">
        <v>239</v>
      </c>
      <c r="F18" s="34" t="s">
        <v>240</v>
      </c>
      <c r="G18" s="30">
        <v>4</v>
      </c>
      <c r="H18" s="30">
        <v>3</v>
      </c>
      <c r="I18" s="30">
        <v>3</v>
      </c>
      <c r="J18" s="30">
        <f t="shared" si="2"/>
        <v>10</v>
      </c>
      <c r="K18" s="64" t="s">
        <v>621</v>
      </c>
      <c r="L18" s="64" t="s">
        <v>623</v>
      </c>
      <c r="M18" s="30">
        <v>3</v>
      </c>
      <c r="N18" s="30">
        <v>2</v>
      </c>
      <c r="O18" s="30">
        <f>J18*M18*N18</f>
        <v>60</v>
      </c>
      <c r="P18" s="28" t="str">
        <f t="shared" si="0"/>
        <v>Low</v>
      </c>
      <c r="Q18" s="64" t="s">
        <v>628</v>
      </c>
      <c r="R18" s="30" t="str">
        <f t="shared" si="12"/>
        <v>Yes</v>
      </c>
      <c r="S18" s="30" t="str">
        <f t="shared" si="8"/>
        <v>Accept</v>
      </c>
      <c r="T18" s="30" t="s">
        <v>17</v>
      </c>
      <c r="U18" s="27" t="s">
        <v>241</v>
      </c>
      <c r="V18" s="30" t="s">
        <v>633</v>
      </c>
      <c r="W18" s="27" t="s">
        <v>241</v>
      </c>
      <c r="X18" s="27" t="s">
        <v>241</v>
      </c>
      <c r="Y18" s="30" t="s">
        <v>241</v>
      </c>
      <c r="Z18" s="27" t="s">
        <v>241</v>
      </c>
      <c r="AA18" s="27" t="s">
        <v>241</v>
      </c>
    </row>
    <row r="19" spans="1:27" ht="48" x14ac:dyDescent="0.15">
      <c r="A19" s="162"/>
      <c r="B19" s="30" t="s">
        <v>73</v>
      </c>
      <c r="C19" s="30" t="s">
        <v>323</v>
      </c>
      <c r="D19" s="148"/>
      <c r="E19" s="34" t="s">
        <v>239</v>
      </c>
      <c r="F19" s="34" t="s">
        <v>240</v>
      </c>
      <c r="G19" s="30">
        <v>4</v>
      </c>
      <c r="H19" s="30">
        <v>3</v>
      </c>
      <c r="I19" s="30">
        <v>3</v>
      </c>
      <c r="J19" s="30">
        <f>(I19+H19+G19)</f>
        <v>10</v>
      </c>
      <c r="K19" s="63" t="s">
        <v>622</v>
      </c>
      <c r="L19" s="63" t="s">
        <v>624</v>
      </c>
      <c r="M19" s="30">
        <v>4</v>
      </c>
      <c r="N19" s="30">
        <v>1</v>
      </c>
      <c r="O19" s="30">
        <f>J18*M19*N19</f>
        <v>40</v>
      </c>
      <c r="P19" s="28" t="str">
        <f t="shared" si="0"/>
        <v>Low</v>
      </c>
      <c r="Q19" s="63" t="s">
        <v>626</v>
      </c>
      <c r="R19" s="30" t="str">
        <f t="shared" si="12"/>
        <v>Yes</v>
      </c>
      <c r="S19" s="30" t="str">
        <f t="shared" si="8"/>
        <v>Accept</v>
      </c>
      <c r="T19" s="30" t="s">
        <v>17</v>
      </c>
      <c r="U19" s="27" t="s">
        <v>241</v>
      </c>
      <c r="V19" s="30" t="s">
        <v>617</v>
      </c>
      <c r="W19" s="27" t="s">
        <v>241</v>
      </c>
      <c r="X19" s="27" t="s">
        <v>241</v>
      </c>
      <c r="Y19" s="30" t="s">
        <v>241</v>
      </c>
      <c r="Z19" s="27" t="s">
        <v>241</v>
      </c>
      <c r="AA19" s="27" t="s">
        <v>241</v>
      </c>
    </row>
    <row r="20" spans="1:27" ht="80.75" customHeight="1" x14ac:dyDescent="0.15">
      <c r="A20" s="162">
        <v>9</v>
      </c>
      <c r="B20" s="30" t="s">
        <v>634</v>
      </c>
      <c r="C20" s="165" t="s">
        <v>639</v>
      </c>
      <c r="D20" s="147" t="s">
        <v>638</v>
      </c>
      <c r="E20" s="34" t="s">
        <v>239</v>
      </c>
      <c r="F20" s="34" t="s">
        <v>240</v>
      </c>
      <c r="G20" s="30">
        <v>2</v>
      </c>
      <c r="H20" s="30">
        <v>4</v>
      </c>
      <c r="I20" s="30">
        <v>4</v>
      </c>
      <c r="J20" s="30">
        <f t="shared" si="2"/>
        <v>10</v>
      </c>
      <c r="K20" s="32" t="s">
        <v>636</v>
      </c>
      <c r="L20" s="33" t="s">
        <v>80</v>
      </c>
      <c r="M20" s="30">
        <v>4</v>
      </c>
      <c r="N20" s="30">
        <v>2</v>
      </c>
      <c r="O20" s="30">
        <f>J20*M20*N20</f>
        <v>80</v>
      </c>
      <c r="P20" s="28" t="str">
        <f t="shared" si="0"/>
        <v>Low</v>
      </c>
      <c r="Q20" s="33" t="s">
        <v>645</v>
      </c>
      <c r="R20" s="30" t="str">
        <f t="shared" si="12"/>
        <v>Yes</v>
      </c>
      <c r="S20" s="34" t="str">
        <f t="shared" si="3"/>
        <v>Accept</v>
      </c>
      <c r="T20" s="30" t="s">
        <v>17</v>
      </c>
      <c r="U20" s="27" t="s">
        <v>241</v>
      </c>
      <c r="V20" s="30" t="s">
        <v>633</v>
      </c>
      <c r="W20" s="27" t="s">
        <v>241</v>
      </c>
      <c r="X20" s="27" t="s">
        <v>241</v>
      </c>
      <c r="Y20" s="30" t="s">
        <v>241</v>
      </c>
      <c r="Z20" s="27" t="s">
        <v>241</v>
      </c>
      <c r="AA20" s="27" t="s">
        <v>241</v>
      </c>
    </row>
    <row r="21" spans="1:27" ht="80.75" customHeight="1" x14ac:dyDescent="0.15">
      <c r="A21" s="162"/>
      <c r="B21" s="30" t="s">
        <v>634</v>
      </c>
      <c r="C21" s="166"/>
      <c r="D21" s="148"/>
      <c r="E21" s="34" t="s">
        <v>239</v>
      </c>
      <c r="F21" s="34" t="s">
        <v>240</v>
      </c>
      <c r="G21" s="30">
        <v>2</v>
      </c>
      <c r="H21" s="30">
        <v>4</v>
      </c>
      <c r="I21" s="30">
        <v>4</v>
      </c>
      <c r="J21" s="30">
        <f>(I21+H21+G21)</f>
        <v>10</v>
      </c>
      <c r="K21" s="32" t="s">
        <v>81</v>
      </c>
      <c r="L21" s="33" t="s">
        <v>80</v>
      </c>
      <c r="M21" s="30">
        <v>4</v>
      </c>
      <c r="N21" s="30">
        <v>2</v>
      </c>
      <c r="O21" s="30">
        <f>J20*M21*N21</f>
        <v>80</v>
      </c>
      <c r="P21" s="28" t="str">
        <f t="shared" si="0"/>
        <v>Low</v>
      </c>
      <c r="Q21" s="33" t="s">
        <v>641</v>
      </c>
      <c r="R21" s="30" t="str">
        <f t="shared" si="12"/>
        <v>Yes</v>
      </c>
      <c r="S21" s="34" t="str">
        <f t="shared" si="3"/>
        <v>Accept</v>
      </c>
      <c r="T21" s="30" t="s">
        <v>17</v>
      </c>
      <c r="U21" s="27" t="s">
        <v>241</v>
      </c>
      <c r="V21" s="30" t="s">
        <v>633</v>
      </c>
      <c r="W21" s="27" t="s">
        <v>241</v>
      </c>
      <c r="X21" s="27" t="s">
        <v>241</v>
      </c>
      <c r="Y21" s="30" t="s">
        <v>241</v>
      </c>
      <c r="Z21" s="27" t="s">
        <v>241</v>
      </c>
      <c r="AA21" s="27" t="s">
        <v>241</v>
      </c>
    </row>
    <row r="22" spans="1:27" ht="48" x14ac:dyDescent="0.15">
      <c r="A22" s="162">
        <v>10</v>
      </c>
      <c r="B22" s="30" t="s">
        <v>637</v>
      </c>
      <c r="C22" s="60" t="s">
        <v>640</v>
      </c>
      <c r="D22" s="147">
        <v>5</v>
      </c>
      <c r="E22" s="34" t="s">
        <v>239</v>
      </c>
      <c r="F22" s="34" t="s">
        <v>240</v>
      </c>
      <c r="G22" s="30">
        <v>4</v>
      </c>
      <c r="H22" s="30">
        <v>3</v>
      </c>
      <c r="I22" s="30">
        <v>3</v>
      </c>
      <c r="J22" s="30">
        <f t="shared" ref="J22" si="13">(I22+H22+G22)</f>
        <v>10</v>
      </c>
      <c r="K22" s="32" t="s">
        <v>636</v>
      </c>
      <c r="L22" s="33" t="s">
        <v>80</v>
      </c>
      <c r="M22" s="30">
        <v>4</v>
      </c>
      <c r="N22" s="30">
        <v>2</v>
      </c>
      <c r="O22" s="30">
        <f>J22*M22*N22</f>
        <v>80</v>
      </c>
      <c r="P22" s="28" t="str">
        <f t="shared" ref="P22:P23" si="14">IF(O22&lt;=94,"Low",IF(AND(O22&gt;94,O22&lt;=188),"Medium",IF(AND(O22&gt;188,O22&lt;=282),"High",IF(AND(O22&gt;282,O22&lt;=375),"Critical","Error"))))</f>
        <v>Low</v>
      </c>
      <c r="Q22" s="33" t="s">
        <v>644</v>
      </c>
      <c r="R22" s="30" t="str">
        <f t="shared" ref="R22:R23" si="15">IF(O22&gt;94,"No","Yes")</f>
        <v>Yes</v>
      </c>
      <c r="S22" s="34" t="str">
        <f t="shared" ref="S22:S23" si="16">IF(R22="Yes","Accept","Mitigate")</f>
        <v>Accept</v>
      </c>
      <c r="T22" s="30" t="s">
        <v>17</v>
      </c>
      <c r="U22" s="27" t="s">
        <v>241</v>
      </c>
      <c r="V22" s="30" t="s">
        <v>643</v>
      </c>
      <c r="W22" s="27" t="s">
        <v>241</v>
      </c>
      <c r="X22" s="27" t="s">
        <v>241</v>
      </c>
      <c r="Y22" s="30" t="s">
        <v>241</v>
      </c>
      <c r="Z22" s="27" t="s">
        <v>241</v>
      </c>
      <c r="AA22" s="27" t="s">
        <v>241</v>
      </c>
    </row>
    <row r="23" spans="1:27" ht="48" x14ac:dyDescent="0.15">
      <c r="A23" s="162"/>
      <c r="B23" s="30" t="s">
        <v>637</v>
      </c>
      <c r="C23" s="60" t="s">
        <v>640</v>
      </c>
      <c r="D23" s="148"/>
      <c r="E23" s="34" t="s">
        <v>239</v>
      </c>
      <c r="F23" s="34" t="s">
        <v>240</v>
      </c>
      <c r="G23" s="30">
        <v>4</v>
      </c>
      <c r="H23" s="30">
        <v>3</v>
      </c>
      <c r="I23" s="30">
        <v>3</v>
      </c>
      <c r="J23" s="30">
        <f>(I23+H23+G23)</f>
        <v>10</v>
      </c>
      <c r="K23" s="32" t="s">
        <v>81</v>
      </c>
      <c r="L23" s="33" t="s">
        <v>80</v>
      </c>
      <c r="M23" s="30">
        <v>4</v>
      </c>
      <c r="N23" s="30">
        <v>2</v>
      </c>
      <c r="O23" s="30">
        <f>J22*M23*N23</f>
        <v>80</v>
      </c>
      <c r="P23" s="28" t="str">
        <f t="shared" si="14"/>
        <v>Low</v>
      </c>
      <c r="Q23" s="33" t="s">
        <v>642</v>
      </c>
      <c r="R23" s="30" t="str">
        <f t="shared" si="15"/>
        <v>Yes</v>
      </c>
      <c r="S23" s="34" t="str">
        <f t="shared" si="16"/>
        <v>Accept</v>
      </c>
      <c r="T23" s="30" t="s">
        <v>17</v>
      </c>
      <c r="U23" s="27" t="s">
        <v>241</v>
      </c>
      <c r="V23" s="30" t="s">
        <v>643</v>
      </c>
      <c r="W23" s="27" t="s">
        <v>241</v>
      </c>
      <c r="X23" s="27" t="s">
        <v>241</v>
      </c>
      <c r="Y23" s="30" t="s">
        <v>241</v>
      </c>
      <c r="Z23" s="27" t="s">
        <v>241</v>
      </c>
      <c r="AA23" s="27" t="s">
        <v>241</v>
      </c>
    </row>
    <row r="24" spans="1:27" ht="48" x14ac:dyDescent="0.15">
      <c r="A24" s="162">
        <v>11</v>
      </c>
      <c r="B24" s="30" t="s">
        <v>646</v>
      </c>
      <c r="C24" s="60" t="s">
        <v>647</v>
      </c>
      <c r="D24" s="147">
        <v>8</v>
      </c>
      <c r="E24" s="34" t="s">
        <v>239</v>
      </c>
      <c r="F24" s="34" t="s">
        <v>240</v>
      </c>
      <c r="G24" s="30">
        <v>4</v>
      </c>
      <c r="H24" s="30">
        <v>3</v>
      </c>
      <c r="I24" s="30">
        <v>3</v>
      </c>
      <c r="J24" s="30">
        <f t="shared" ref="J24" si="17">(I24+H24+G24)</f>
        <v>10</v>
      </c>
      <c r="K24" s="32" t="s">
        <v>636</v>
      </c>
      <c r="L24" s="33" t="s">
        <v>80</v>
      </c>
      <c r="M24" s="30">
        <v>4</v>
      </c>
      <c r="N24" s="30">
        <v>2</v>
      </c>
      <c r="O24" s="30">
        <f>J24*M24*N24</f>
        <v>80</v>
      </c>
      <c r="P24" s="28" t="str">
        <f t="shared" ref="P24:P25" si="18">IF(O24&lt;=94,"Low",IF(AND(O24&gt;94,O24&lt;=188),"Medium",IF(AND(O24&gt;188,O24&lt;=282),"High",IF(AND(O24&gt;282,O24&lt;=375),"Critical","Error"))))</f>
        <v>Low</v>
      </c>
      <c r="Q24" s="33" t="s">
        <v>652</v>
      </c>
      <c r="R24" s="30" t="str">
        <f t="shared" ref="R24:R25" si="19">IF(O24&gt;94,"No","Yes")</f>
        <v>Yes</v>
      </c>
      <c r="S24" s="34" t="str">
        <f t="shared" ref="S24:S25" si="20">IF(R24="Yes","Accept","Mitigate")</f>
        <v>Accept</v>
      </c>
      <c r="T24" s="30" t="s">
        <v>17</v>
      </c>
      <c r="U24" s="27" t="s">
        <v>241</v>
      </c>
      <c r="V24" s="30" t="s">
        <v>653</v>
      </c>
      <c r="W24" s="27" t="s">
        <v>241</v>
      </c>
      <c r="X24" s="27" t="s">
        <v>241</v>
      </c>
      <c r="Y24" s="30" t="s">
        <v>241</v>
      </c>
      <c r="Z24" s="27" t="s">
        <v>241</v>
      </c>
      <c r="AA24" s="27" t="s">
        <v>241</v>
      </c>
    </row>
    <row r="25" spans="1:27" ht="48" x14ac:dyDescent="0.15">
      <c r="A25" s="162"/>
      <c r="B25" s="30" t="s">
        <v>646</v>
      </c>
      <c r="C25" s="60" t="s">
        <v>647</v>
      </c>
      <c r="D25" s="148"/>
      <c r="E25" s="30" t="s">
        <v>239</v>
      </c>
      <c r="F25" s="30" t="s">
        <v>240</v>
      </c>
      <c r="G25" s="30">
        <v>4</v>
      </c>
      <c r="H25" s="30">
        <v>3</v>
      </c>
      <c r="I25" s="30">
        <v>3</v>
      </c>
      <c r="J25" s="30">
        <f>(I25+H25+G25)</f>
        <v>10</v>
      </c>
      <c r="K25" s="32" t="s">
        <v>81</v>
      </c>
      <c r="L25" s="35" t="s">
        <v>80</v>
      </c>
      <c r="M25" s="30">
        <v>4</v>
      </c>
      <c r="N25" s="30">
        <v>2</v>
      </c>
      <c r="O25" s="30">
        <f>J24*M25*N25</f>
        <v>80</v>
      </c>
      <c r="P25" s="28" t="str">
        <f t="shared" si="18"/>
        <v>Low</v>
      </c>
      <c r="Q25" s="35" t="s">
        <v>82</v>
      </c>
      <c r="R25" s="30" t="str">
        <f t="shared" si="19"/>
        <v>Yes</v>
      </c>
      <c r="S25" s="30" t="str">
        <f t="shared" si="20"/>
        <v>Accept</v>
      </c>
      <c r="T25" s="30" t="s">
        <v>17</v>
      </c>
      <c r="U25" s="27" t="s">
        <v>241</v>
      </c>
      <c r="V25" s="30" t="s">
        <v>653</v>
      </c>
      <c r="W25" s="27" t="s">
        <v>241</v>
      </c>
      <c r="X25" s="27" t="s">
        <v>241</v>
      </c>
      <c r="Y25" s="30" t="s">
        <v>241</v>
      </c>
      <c r="Z25" s="27" t="s">
        <v>241</v>
      </c>
      <c r="AA25" s="27" t="s">
        <v>241</v>
      </c>
    </row>
    <row r="26" spans="1:27" ht="84" x14ac:dyDescent="0.15">
      <c r="A26" s="162">
        <v>12</v>
      </c>
      <c r="B26" s="30" t="s">
        <v>74</v>
      </c>
      <c r="C26" s="30" t="s">
        <v>324</v>
      </c>
      <c r="D26" s="147" t="s">
        <v>241</v>
      </c>
      <c r="E26" s="34" t="s">
        <v>239</v>
      </c>
      <c r="F26" s="34" t="s">
        <v>240</v>
      </c>
      <c r="G26" s="30">
        <v>2</v>
      </c>
      <c r="H26" s="30">
        <v>3</v>
      </c>
      <c r="I26" s="30">
        <v>3</v>
      </c>
      <c r="J26" s="30">
        <f>(I26+H26+G26)</f>
        <v>8</v>
      </c>
      <c r="K26" s="32" t="s">
        <v>654</v>
      </c>
      <c r="L26" s="30" t="s">
        <v>827</v>
      </c>
      <c r="M26" s="30">
        <v>4</v>
      </c>
      <c r="N26" s="30">
        <v>4</v>
      </c>
      <c r="O26" s="30">
        <f>J26*M26*N26</f>
        <v>128</v>
      </c>
      <c r="P26" s="28" t="str">
        <f t="shared" si="0"/>
        <v>Medium</v>
      </c>
      <c r="Q26" s="32" t="s">
        <v>655</v>
      </c>
      <c r="R26" s="30" t="str">
        <f t="shared" si="12"/>
        <v>No</v>
      </c>
      <c r="S26" s="30" t="str">
        <f t="shared" si="3"/>
        <v>Mitigate</v>
      </c>
      <c r="T26" s="30" t="s">
        <v>829</v>
      </c>
      <c r="U26" s="27" t="s">
        <v>317</v>
      </c>
      <c r="V26" s="30" t="s">
        <v>317</v>
      </c>
      <c r="W26" s="27">
        <v>4</v>
      </c>
      <c r="X26" s="27">
        <v>1</v>
      </c>
      <c r="Y26" s="30">
        <f>J25*W26*X26</f>
        <v>40</v>
      </c>
      <c r="Z26" s="27" t="s">
        <v>241</v>
      </c>
      <c r="AA26" s="27" t="s">
        <v>17</v>
      </c>
    </row>
    <row r="27" spans="1:27" ht="48" x14ac:dyDescent="0.15">
      <c r="A27" s="162"/>
      <c r="B27" s="30" t="s">
        <v>74</v>
      </c>
      <c r="C27" s="30" t="s">
        <v>324</v>
      </c>
      <c r="D27" s="148"/>
      <c r="E27" s="34" t="s">
        <v>239</v>
      </c>
      <c r="F27" s="34" t="s">
        <v>240</v>
      </c>
      <c r="G27" s="30">
        <v>2</v>
      </c>
      <c r="H27" s="30">
        <v>3</v>
      </c>
      <c r="I27" s="30">
        <v>3</v>
      </c>
      <c r="J27" s="30">
        <f>(I27+H27+G27)</f>
        <v>8</v>
      </c>
      <c r="K27" s="32" t="s">
        <v>83</v>
      </c>
      <c r="L27" s="30" t="s">
        <v>84</v>
      </c>
      <c r="M27" s="30">
        <v>4</v>
      </c>
      <c r="N27" s="30">
        <v>3</v>
      </c>
      <c r="O27" s="30">
        <f>J26*M27*N27</f>
        <v>96</v>
      </c>
      <c r="P27" s="28" t="str">
        <f t="shared" si="0"/>
        <v>Medium</v>
      </c>
      <c r="Q27" s="32"/>
      <c r="R27" s="30" t="str">
        <f t="shared" si="12"/>
        <v>No</v>
      </c>
      <c r="S27" s="30" t="str">
        <f t="shared" si="3"/>
        <v>Mitigate</v>
      </c>
      <c r="T27" s="30" t="s">
        <v>245</v>
      </c>
      <c r="U27" s="46" t="s">
        <v>244</v>
      </c>
      <c r="V27" s="30" t="s">
        <v>317</v>
      </c>
      <c r="W27" s="30">
        <v>4</v>
      </c>
      <c r="X27" s="30">
        <v>1</v>
      </c>
      <c r="Y27" s="30">
        <f>J26*W27*X27</f>
        <v>32</v>
      </c>
      <c r="Z27" s="30" t="str">
        <f>IF(Y27&lt;94,"No","Yes")</f>
        <v>No</v>
      </c>
      <c r="AA27" s="45" t="s">
        <v>17</v>
      </c>
    </row>
    <row r="28" spans="1:27" ht="84" x14ac:dyDescent="0.15">
      <c r="A28" s="162">
        <v>13</v>
      </c>
      <c r="B28" s="30" t="s">
        <v>321</v>
      </c>
      <c r="C28" s="30" t="s">
        <v>324</v>
      </c>
      <c r="D28" s="147" t="s">
        <v>241</v>
      </c>
      <c r="E28" s="34" t="s">
        <v>239</v>
      </c>
      <c r="F28" s="34" t="s">
        <v>240</v>
      </c>
      <c r="G28" s="30">
        <v>2</v>
      </c>
      <c r="H28" s="30">
        <v>4</v>
      </c>
      <c r="I28" s="30">
        <v>4</v>
      </c>
      <c r="J28" s="30">
        <f>(I28+H28+G28)</f>
        <v>10</v>
      </c>
      <c r="K28" s="32" t="s">
        <v>654</v>
      </c>
      <c r="L28" s="30" t="s">
        <v>828</v>
      </c>
      <c r="M28" s="30">
        <v>4</v>
      </c>
      <c r="N28" s="30">
        <v>4</v>
      </c>
      <c r="O28" s="30">
        <f>J28*M28*N28</f>
        <v>160</v>
      </c>
      <c r="P28" s="28" t="str">
        <f t="shared" si="0"/>
        <v>Medium</v>
      </c>
      <c r="Q28" s="32" t="s">
        <v>655</v>
      </c>
      <c r="R28" s="30" t="str">
        <f t="shared" si="12"/>
        <v>No</v>
      </c>
      <c r="S28" s="30" t="str">
        <f t="shared" si="3"/>
        <v>Mitigate</v>
      </c>
      <c r="T28" s="30" t="s">
        <v>829</v>
      </c>
      <c r="U28" s="27" t="s">
        <v>317</v>
      </c>
      <c r="V28" s="30" t="s">
        <v>317</v>
      </c>
      <c r="W28" s="30">
        <v>4</v>
      </c>
      <c r="X28" s="30">
        <v>1</v>
      </c>
      <c r="Y28" s="30">
        <f>J28*W28*X28</f>
        <v>40</v>
      </c>
      <c r="Z28" s="30" t="s">
        <v>241</v>
      </c>
      <c r="AA28" s="45" t="s">
        <v>17</v>
      </c>
    </row>
    <row r="29" spans="1:27" ht="48" x14ac:dyDescent="0.15">
      <c r="A29" s="162"/>
      <c r="B29" s="30" t="s">
        <v>321</v>
      </c>
      <c r="C29" s="30" t="s">
        <v>324</v>
      </c>
      <c r="D29" s="148"/>
      <c r="E29" s="30" t="s">
        <v>239</v>
      </c>
      <c r="F29" s="30" t="s">
        <v>240</v>
      </c>
      <c r="G29" s="30">
        <v>2</v>
      </c>
      <c r="H29" s="30">
        <v>4</v>
      </c>
      <c r="I29" s="30">
        <v>4</v>
      </c>
      <c r="J29" s="30">
        <f>(I29+H29+G29)</f>
        <v>10</v>
      </c>
      <c r="K29" s="32" t="s">
        <v>83</v>
      </c>
      <c r="L29" s="30" t="s">
        <v>84</v>
      </c>
      <c r="M29" s="30">
        <v>4</v>
      </c>
      <c r="N29" s="30">
        <v>3</v>
      </c>
      <c r="O29" s="30">
        <f>J28*M29*N29</f>
        <v>120</v>
      </c>
      <c r="P29" s="28" t="str">
        <f t="shared" si="0"/>
        <v>Medium</v>
      </c>
      <c r="Q29" s="30"/>
      <c r="R29" s="30" t="str">
        <f t="shared" si="12"/>
        <v>No</v>
      </c>
      <c r="S29" s="30" t="str">
        <f t="shared" si="3"/>
        <v>Mitigate</v>
      </c>
      <c r="T29" s="30" t="s">
        <v>245</v>
      </c>
      <c r="U29" s="46" t="s">
        <v>244</v>
      </c>
      <c r="V29" s="30" t="s">
        <v>317</v>
      </c>
      <c r="W29" s="30">
        <v>4</v>
      </c>
      <c r="X29" s="30">
        <v>1</v>
      </c>
      <c r="Y29" s="30">
        <f>J28*W29*X29</f>
        <v>40</v>
      </c>
      <c r="Z29" s="30" t="str">
        <f>IF(Y29&lt;94,"No","Yes")</f>
        <v>No</v>
      </c>
      <c r="AA29" s="45" t="s">
        <v>17</v>
      </c>
    </row>
  </sheetData>
  <autoFilter ref="A3:AA29" xr:uid="{D45AE915-C2E4-4ADE-B657-AD82698EA356}"/>
  <mergeCells count="38">
    <mergeCell ref="D28:D29"/>
    <mergeCell ref="A10:A11"/>
    <mergeCell ref="A20:A21"/>
    <mergeCell ref="A28:A29"/>
    <mergeCell ref="D10:D11"/>
    <mergeCell ref="A14:A15"/>
    <mergeCell ref="D12:D13"/>
    <mergeCell ref="D14:D15"/>
    <mergeCell ref="A26:A27"/>
    <mergeCell ref="A18:A19"/>
    <mergeCell ref="A16:A17"/>
    <mergeCell ref="D16:D17"/>
    <mergeCell ref="A22:A23"/>
    <mergeCell ref="A24:A25"/>
    <mergeCell ref="C20:C21"/>
    <mergeCell ref="D20:D21"/>
    <mergeCell ref="A12:A13"/>
    <mergeCell ref="A6:A7"/>
    <mergeCell ref="A4:A5"/>
    <mergeCell ref="D4:D5"/>
    <mergeCell ref="D6:D7"/>
    <mergeCell ref="D8:D9"/>
    <mergeCell ref="D18:D19"/>
    <mergeCell ref="D22:D23"/>
    <mergeCell ref="D24:D25"/>
    <mergeCell ref="D26:D27"/>
    <mergeCell ref="Z1:AA1"/>
    <mergeCell ref="K2:O2"/>
    <mergeCell ref="K1:P1"/>
    <mergeCell ref="A1:J1"/>
    <mergeCell ref="A2:A3"/>
    <mergeCell ref="B2:B3"/>
    <mergeCell ref="G2:I2"/>
    <mergeCell ref="J2:J3"/>
    <mergeCell ref="T2:U2"/>
    <mergeCell ref="R1:T1"/>
    <mergeCell ref="W1:Y1"/>
    <mergeCell ref="A8:A9"/>
  </mergeCells>
  <phoneticPr fontId="11" type="noConversion"/>
  <conditionalFormatting sqref="O4:O29">
    <cfRule type="cellIs" dxfId="95" priority="1" operator="between">
      <formula>283</formula>
      <formula>372</formula>
    </cfRule>
    <cfRule type="cellIs" dxfId="94" priority="2" operator="between">
      <formula>189</formula>
      <formula>282</formula>
    </cfRule>
    <cfRule type="cellIs" dxfId="93" priority="3" operator="between">
      <formula>95</formula>
      <formula>188</formula>
    </cfRule>
    <cfRule type="cellIs" dxfId="92" priority="4" operator="between">
      <formula>1</formula>
      <formula>94</formula>
    </cfRule>
  </conditionalFormatting>
  <conditionalFormatting sqref="O12:O19 Y4:Y29">
    <cfRule type="cellIs" dxfId="91" priority="6" operator="between">
      <formula>99</formula>
      <formula>144</formula>
    </cfRule>
  </conditionalFormatting>
  <conditionalFormatting sqref="Y4:Y29 O12:O19">
    <cfRule type="cellIs" priority="5" operator="between">
      <formula>145</formula>
      <formula>192</formula>
    </cfRule>
    <cfRule type="cellIs" dxfId="90" priority="7" operator="between">
      <formula>49</formula>
      <formula>98</formula>
    </cfRule>
    <cfRule type="cellIs" dxfId="89" priority="8" operator="between">
      <formula>1</formula>
      <formula>48</formula>
    </cfRule>
  </conditionalFormatting>
  <pageMargins left="0.75" right="0.75" top="1" bottom="1" header="0.5" footer="0.5"/>
  <pageSetup orientation="portrait" verticalDpi="1200" r:id="rId1"/>
  <headerFooter alignWithMargins="0"/>
  <ignoredErrors>
    <ignoredError sqref="O26:O28 O3:O9 O12:O25 Y28"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0F050-8F12-4F2A-A0D4-FE28858BCEFC}">
  <sheetPr codeName="Sheet3"/>
  <dimension ref="A1:AA72"/>
  <sheetViews>
    <sheetView zoomScaleNormal="100" workbookViewId="0">
      <pane xSplit="2" ySplit="3" topLeftCell="K4" activePane="bottomRight" state="frozen"/>
      <selection pane="topRight" activeCell="C1" sqref="C1"/>
      <selection pane="bottomLeft" activeCell="A4" sqref="A4"/>
      <selection pane="bottomRight" activeCell="P6" sqref="P6"/>
    </sheetView>
  </sheetViews>
  <sheetFormatPr baseColWidth="10" defaultColWidth="9.1640625" defaultRowHeight="16" x14ac:dyDescent="0.15"/>
  <cols>
    <col min="1" max="1" width="5.5" style="8" customWidth="1"/>
    <col min="2" max="3" width="17.1640625" style="9" customWidth="1"/>
    <col min="4" max="4" width="12.6640625" style="9" customWidth="1"/>
    <col min="5" max="6" width="10.5" style="9" customWidth="1"/>
    <col min="7" max="7" width="10.6640625" style="8" customWidth="1"/>
    <col min="8" max="8" width="7.1640625" style="8" customWidth="1"/>
    <col min="9" max="9" width="8.33203125" style="8" customWidth="1"/>
    <col min="10" max="10" width="11.5" style="8" customWidth="1"/>
    <col min="11" max="11" width="25.5" style="8" customWidth="1"/>
    <col min="12" max="12" width="23" style="8" customWidth="1"/>
    <col min="13" max="13" width="7.6640625" style="8" customWidth="1"/>
    <col min="14" max="15" width="15.6640625" style="8" customWidth="1"/>
    <col min="16" max="16" width="11.5" style="8" customWidth="1"/>
    <col min="17" max="17" width="26.5" style="8" customWidth="1"/>
    <col min="18" max="20" width="16.5" style="8" customWidth="1"/>
    <col min="21" max="26" width="16.33203125" style="8" customWidth="1"/>
    <col min="27" max="27" width="24.33203125" style="8" bestFit="1" customWidth="1"/>
    <col min="28" max="16384" width="9.1640625" style="8"/>
  </cols>
  <sheetData>
    <row r="1" spans="1:27" s="7" customFormat="1" x14ac:dyDescent="0.15">
      <c r="A1" s="152"/>
      <c r="B1" s="149"/>
      <c r="C1" s="149"/>
      <c r="D1" s="149"/>
      <c r="E1" s="149"/>
      <c r="F1" s="149"/>
      <c r="G1" s="149"/>
      <c r="H1" s="149"/>
      <c r="I1" s="149"/>
      <c r="J1" s="149"/>
      <c r="K1" s="149" t="s">
        <v>24</v>
      </c>
      <c r="L1" s="149"/>
      <c r="M1" s="149"/>
      <c r="N1" s="149"/>
      <c r="O1" s="149"/>
      <c r="P1" s="149"/>
      <c r="Q1" s="20"/>
      <c r="R1" s="149" t="s">
        <v>52</v>
      </c>
      <c r="S1" s="149"/>
      <c r="T1" s="149"/>
      <c r="U1" s="149"/>
      <c r="V1" s="20"/>
      <c r="W1" s="149" t="s">
        <v>55</v>
      </c>
      <c r="X1" s="149"/>
      <c r="Y1" s="149"/>
      <c r="Z1" s="149" t="s">
        <v>75</v>
      </c>
      <c r="AA1" s="150"/>
    </row>
    <row r="2" spans="1:27" s="7" customFormat="1" x14ac:dyDescent="0.15">
      <c r="A2" s="153" t="s">
        <v>0</v>
      </c>
      <c r="B2" s="155" t="s">
        <v>1</v>
      </c>
      <c r="C2" s="21"/>
      <c r="D2" s="21"/>
      <c r="E2" s="21"/>
      <c r="F2" s="21"/>
      <c r="G2" s="157" t="s">
        <v>4</v>
      </c>
      <c r="H2" s="157"/>
      <c r="I2" s="157"/>
      <c r="J2" s="158" t="s">
        <v>834</v>
      </c>
      <c r="K2" s="151" t="s">
        <v>25</v>
      </c>
      <c r="L2" s="151"/>
      <c r="M2" s="151"/>
      <c r="N2" s="151"/>
      <c r="O2" s="151"/>
      <c r="P2" s="217" t="s">
        <v>6</v>
      </c>
      <c r="Q2" s="21" t="s">
        <v>53</v>
      </c>
      <c r="R2" s="21" t="s">
        <v>32</v>
      </c>
      <c r="S2" s="21" t="s">
        <v>34</v>
      </c>
      <c r="T2" s="160" t="s">
        <v>39</v>
      </c>
      <c r="U2" s="161"/>
      <c r="V2" s="21" t="s">
        <v>37</v>
      </c>
      <c r="W2" s="21" t="s">
        <v>46</v>
      </c>
      <c r="X2" s="21" t="s">
        <v>48</v>
      </c>
      <c r="Y2" s="21" t="s">
        <v>54</v>
      </c>
      <c r="Z2" s="21" t="s">
        <v>51</v>
      </c>
      <c r="AA2" s="22" t="s">
        <v>76</v>
      </c>
    </row>
    <row r="3" spans="1:27" s="7" customFormat="1" ht="30" customHeight="1" thickBot="1" x14ac:dyDescent="0.2">
      <c r="A3" s="216"/>
      <c r="B3" s="219"/>
      <c r="C3" s="36" t="s">
        <v>57</v>
      </c>
      <c r="D3" s="36" t="s">
        <v>235</v>
      </c>
      <c r="E3" s="36" t="s">
        <v>237</v>
      </c>
      <c r="F3" s="36" t="s">
        <v>238</v>
      </c>
      <c r="G3" s="23" t="s">
        <v>7</v>
      </c>
      <c r="H3" s="24" t="s">
        <v>8</v>
      </c>
      <c r="I3" s="23" t="s">
        <v>77</v>
      </c>
      <c r="J3" s="159"/>
      <c r="K3" s="25" t="s">
        <v>26</v>
      </c>
      <c r="L3" s="110" t="s">
        <v>27</v>
      </c>
      <c r="M3" s="25" t="s">
        <v>29</v>
      </c>
      <c r="N3" s="25" t="s">
        <v>30</v>
      </c>
      <c r="O3" s="25" t="s">
        <v>31</v>
      </c>
      <c r="P3" s="218"/>
      <c r="Q3" s="25" t="s">
        <v>28</v>
      </c>
      <c r="R3" s="25" t="s">
        <v>33</v>
      </c>
      <c r="S3" s="25" t="s">
        <v>35</v>
      </c>
      <c r="T3" s="25" t="s">
        <v>233</v>
      </c>
      <c r="U3" s="25" t="s">
        <v>234</v>
      </c>
      <c r="V3" s="25" t="s">
        <v>38</v>
      </c>
      <c r="W3" s="25" t="s">
        <v>47</v>
      </c>
      <c r="X3" s="25" t="s">
        <v>49</v>
      </c>
      <c r="Y3" s="25" t="s">
        <v>50</v>
      </c>
      <c r="Z3" s="26" t="s">
        <v>257</v>
      </c>
      <c r="AA3" s="26" t="s">
        <v>78</v>
      </c>
    </row>
    <row r="4" spans="1:27" ht="36" x14ac:dyDescent="0.15">
      <c r="A4" s="162">
        <v>1</v>
      </c>
      <c r="B4" s="30" t="s">
        <v>139</v>
      </c>
      <c r="C4" s="163" t="s">
        <v>66</v>
      </c>
      <c r="D4" s="215" t="s">
        <v>308</v>
      </c>
      <c r="E4" s="56" t="s">
        <v>239</v>
      </c>
      <c r="F4" s="56" t="s">
        <v>240</v>
      </c>
      <c r="G4" s="27">
        <v>2</v>
      </c>
      <c r="H4" s="27">
        <v>4</v>
      </c>
      <c r="I4" s="27">
        <v>4</v>
      </c>
      <c r="J4" s="27">
        <f t="shared" ref="J4:J19" si="0">(I4+H4+G4)</f>
        <v>10</v>
      </c>
      <c r="K4" s="27" t="s">
        <v>58</v>
      </c>
      <c r="L4" s="29" t="s">
        <v>108</v>
      </c>
      <c r="M4" s="27">
        <v>4</v>
      </c>
      <c r="N4" s="27">
        <v>2</v>
      </c>
      <c r="O4" s="27">
        <f>J4*M4*N4</f>
        <v>80</v>
      </c>
      <c r="P4" s="28" t="str">
        <f t="shared" ref="P4:P44" si="1">IF(O4&lt;=94,"Low",IF(AND(O4&gt;94,O4&lt;=188),"Medium",IF(AND(O4&gt;188,O4&lt;=282),"High",IF(AND(O4&gt;282,O4&lt;=375),"Critical","Error"))))</f>
        <v>Low</v>
      </c>
      <c r="Q4" s="37" t="s">
        <v>661</v>
      </c>
      <c r="R4" s="27" t="str">
        <f t="shared" ref="R4:R44" si="2">IF(O4&gt;94,"No","Yes")</f>
        <v>Yes</v>
      </c>
      <c r="S4" s="27" t="str">
        <f t="shared" ref="S4:S44" si="3">IF(R4="Yes","Accept","Mitigate")</f>
        <v>Accept</v>
      </c>
      <c r="T4" s="27" t="s">
        <v>17</v>
      </c>
      <c r="U4" s="27" t="s">
        <v>241</v>
      </c>
      <c r="V4" s="27" t="s">
        <v>633</v>
      </c>
      <c r="W4" s="27" t="s">
        <v>241</v>
      </c>
      <c r="X4" s="27" t="s">
        <v>241</v>
      </c>
      <c r="Y4" s="27" t="s">
        <v>241</v>
      </c>
      <c r="Z4" s="27" t="s">
        <v>241</v>
      </c>
      <c r="AA4" s="27" t="s">
        <v>241</v>
      </c>
    </row>
    <row r="5" spans="1:27" ht="60" x14ac:dyDescent="0.15">
      <c r="A5" s="162"/>
      <c r="B5" s="30" t="s">
        <v>139</v>
      </c>
      <c r="C5" s="164"/>
      <c r="D5" s="164"/>
      <c r="E5" s="30" t="s">
        <v>239</v>
      </c>
      <c r="F5" s="30" t="s">
        <v>240</v>
      </c>
      <c r="G5" s="27">
        <v>2</v>
      </c>
      <c r="H5" s="27">
        <v>4</v>
      </c>
      <c r="I5" s="27">
        <v>4</v>
      </c>
      <c r="J5" s="27">
        <f t="shared" si="0"/>
        <v>10</v>
      </c>
      <c r="K5" s="27" t="s">
        <v>58</v>
      </c>
      <c r="L5" s="32" t="s">
        <v>60</v>
      </c>
      <c r="M5" s="30">
        <v>4</v>
      </c>
      <c r="N5" s="27">
        <v>2</v>
      </c>
      <c r="O5" s="30">
        <f>J4*M5*N5</f>
        <v>80</v>
      </c>
      <c r="P5" s="28" t="str">
        <f t="shared" si="1"/>
        <v>Low</v>
      </c>
      <c r="Q5" s="35" t="s">
        <v>662</v>
      </c>
      <c r="R5" s="30" t="str">
        <f t="shared" si="2"/>
        <v>Yes</v>
      </c>
      <c r="S5" s="30" t="str">
        <f t="shared" si="3"/>
        <v>Accept</v>
      </c>
      <c r="T5" s="27" t="s">
        <v>17</v>
      </c>
      <c r="U5" s="27" t="s">
        <v>241</v>
      </c>
      <c r="V5" s="27" t="s">
        <v>633</v>
      </c>
      <c r="W5" s="27" t="s">
        <v>241</v>
      </c>
      <c r="X5" s="27" t="s">
        <v>241</v>
      </c>
      <c r="Y5" s="27" t="s">
        <v>241</v>
      </c>
      <c r="Z5" s="27" t="s">
        <v>241</v>
      </c>
      <c r="AA5" s="27" t="s">
        <v>241</v>
      </c>
    </row>
    <row r="6" spans="1:27" ht="21" customHeight="1" x14ac:dyDescent="0.15">
      <c r="A6" s="162"/>
      <c r="B6" s="30" t="s">
        <v>139</v>
      </c>
      <c r="C6" s="164"/>
      <c r="D6" s="164"/>
      <c r="E6" s="30" t="s">
        <v>239</v>
      </c>
      <c r="F6" s="30" t="s">
        <v>240</v>
      </c>
      <c r="G6" s="27">
        <v>2</v>
      </c>
      <c r="H6" s="27">
        <v>4</v>
      </c>
      <c r="I6" s="27">
        <v>4</v>
      </c>
      <c r="J6" s="27">
        <f t="shared" si="0"/>
        <v>10</v>
      </c>
      <c r="K6" s="27" t="s">
        <v>58</v>
      </c>
      <c r="L6" s="32" t="s">
        <v>116</v>
      </c>
      <c r="M6" s="30">
        <v>4</v>
      </c>
      <c r="N6" s="27">
        <v>2</v>
      </c>
      <c r="O6" s="30">
        <f>J4*M6*N6</f>
        <v>80</v>
      </c>
      <c r="P6" s="28" t="str">
        <f t="shared" si="1"/>
        <v>Low</v>
      </c>
      <c r="Q6" s="35" t="s">
        <v>117</v>
      </c>
      <c r="R6" s="30" t="str">
        <f t="shared" si="2"/>
        <v>Yes</v>
      </c>
      <c r="S6" s="30" t="str">
        <f t="shared" si="3"/>
        <v>Accept</v>
      </c>
      <c r="T6" s="27" t="s">
        <v>17</v>
      </c>
      <c r="U6" s="27" t="s">
        <v>241</v>
      </c>
      <c r="V6" s="27" t="s">
        <v>633</v>
      </c>
      <c r="W6" s="27" t="s">
        <v>241</v>
      </c>
      <c r="X6" s="27" t="s">
        <v>241</v>
      </c>
      <c r="Y6" s="27" t="s">
        <v>241</v>
      </c>
      <c r="Z6" s="27" t="s">
        <v>241</v>
      </c>
      <c r="AA6" s="27" t="s">
        <v>241</v>
      </c>
    </row>
    <row r="7" spans="1:27" ht="48" x14ac:dyDescent="0.15">
      <c r="A7" s="162"/>
      <c r="B7" s="30" t="s">
        <v>139</v>
      </c>
      <c r="C7" s="164"/>
      <c r="D7" s="164"/>
      <c r="E7" s="30" t="s">
        <v>239</v>
      </c>
      <c r="F7" s="30" t="s">
        <v>240</v>
      </c>
      <c r="G7" s="27">
        <v>2</v>
      </c>
      <c r="H7" s="27">
        <v>4</v>
      </c>
      <c r="I7" s="27">
        <v>4</v>
      </c>
      <c r="J7" s="27">
        <f t="shared" si="0"/>
        <v>10</v>
      </c>
      <c r="K7" s="27" t="s">
        <v>58</v>
      </c>
      <c r="L7" s="32" t="s">
        <v>118</v>
      </c>
      <c r="M7" s="30">
        <v>4</v>
      </c>
      <c r="N7" s="27">
        <v>2</v>
      </c>
      <c r="O7" s="30">
        <f>J4*M7*N7</f>
        <v>80</v>
      </c>
      <c r="P7" s="28" t="str">
        <f t="shared" si="1"/>
        <v>Low</v>
      </c>
      <c r="Q7" s="65" t="s">
        <v>663</v>
      </c>
      <c r="R7" s="30" t="str">
        <f t="shared" si="2"/>
        <v>Yes</v>
      </c>
      <c r="S7" s="30" t="str">
        <f t="shared" si="3"/>
        <v>Accept</v>
      </c>
      <c r="T7" s="27" t="s">
        <v>17</v>
      </c>
      <c r="U7" s="27" t="s">
        <v>241</v>
      </c>
      <c r="V7" s="27" t="s">
        <v>633</v>
      </c>
      <c r="W7" s="27" t="s">
        <v>241</v>
      </c>
      <c r="X7" s="27" t="s">
        <v>241</v>
      </c>
      <c r="Y7" s="27" t="s">
        <v>241</v>
      </c>
      <c r="Z7" s="27" t="s">
        <v>241</v>
      </c>
      <c r="AA7" s="27" t="s">
        <v>241</v>
      </c>
    </row>
    <row r="8" spans="1:27" ht="24" x14ac:dyDescent="0.15">
      <c r="A8" s="162"/>
      <c r="B8" s="30" t="s">
        <v>139</v>
      </c>
      <c r="C8" s="148"/>
      <c r="D8" s="148"/>
      <c r="E8" s="57" t="s">
        <v>239</v>
      </c>
      <c r="F8" s="57" t="s">
        <v>240</v>
      </c>
      <c r="G8" s="27">
        <v>2</v>
      </c>
      <c r="H8" s="27">
        <v>4</v>
      </c>
      <c r="I8" s="27">
        <v>4</v>
      </c>
      <c r="J8" s="27">
        <f t="shared" si="0"/>
        <v>10</v>
      </c>
      <c r="K8" s="30" t="s">
        <v>86</v>
      </c>
      <c r="L8" s="32" t="s">
        <v>87</v>
      </c>
      <c r="M8" s="30">
        <v>4</v>
      </c>
      <c r="N8" s="27">
        <v>2</v>
      </c>
      <c r="O8" s="30">
        <f>J4*M8*N8</f>
        <v>80</v>
      </c>
      <c r="P8" s="28" t="str">
        <f t="shared" si="1"/>
        <v>Low</v>
      </c>
      <c r="Q8" s="35" t="s">
        <v>88</v>
      </c>
      <c r="R8" s="30" t="str">
        <f t="shared" si="2"/>
        <v>Yes</v>
      </c>
      <c r="S8" s="30" t="str">
        <f t="shared" si="3"/>
        <v>Accept</v>
      </c>
      <c r="T8" s="27" t="s">
        <v>17</v>
      </c>
      <c r="U8" s="27" t="s">
        <v>241</v>
      </c>
      <c r="V8" s="27" t="s">
        <v>633</v>
      </c>
      <c r="W8" s="27" t="s">
        <v>241</v>
      </c>
      <c r="X8" s="27" t="s">
        <v>241</v>
      </c>
      <c r="Y8" s="27" t="s">
        <v>241</v>
      </c>
      <c r="Z8" s="27" t="s">
        <v>241</v>
      </c>
      <c r="AA8" s="27" t="s">
        <v>241</v>
      </c>
    </row>
    <row r="9" spans="1:27" ht="36" x14ac:dyDescent="0.15">
      <c r="A9" s="162">
        <v>2</v>
      </c>
      <c r="B9" s="30" t="s">
        <v>699</v>
      </c>
      <c r="C9" s="162" t="s">
        <v>95</v>
      </c>
      <c r="D9" s="147" t="s">
        <v>664</v>
      </c>
      <c r="E9" s="34" t="s">
        <v>239</v>
      </c>
      <c r="F9" s="34" t="s">
        <v>240</v>
      </c>
      <c r="G9" s="30">
        <v>5</v>
      </c>
      <c r="H9" s="30">
        <v>4</v>
      </c>
      <c r="I9" s="30">
        <v>5</v>
      </c>
      <c r="J9" s="30">
        <f>(I9+H9+G9)</f>
        <v>14</v>
      </c>
      <c r="K9" s="30" t="s">
        <v>90</v>
      </c>
      <c r="L9" s="32" t="s">
        <v>94</v>
      </c>
      <c r="M9" s="30">
        <v>4</v>
      </c>
      <c r="N9" s="30">
        <v>1</v>
      </c>
      <c r="O9" s="30">
        <f>J9*M9*N9</f>
        <v>56</v>
      </c>
      <c r="P9" s="28" t="str">
        <f t="shared" ref="P9:P18" si="4">IF(O9&lt;=94,"Low",IF(AND(O9&gt;94,O9&lt;=188),"Medium",IF(AND(O9&gt;188,O9&lt;=282),"High",IF(AND(O9&gt;282,O9&lt;=375),"Critical","Error"))))</f>
        <v>Low</v>
      </c>
      <c r="Q9" s="35" t="s">
        <v>667</v>
      </c>
      <c r="R9" s="30" t="str">
        <f t="shared" ref="R9:R18" si="5">IF(O9&gt;94,"No","Yes")</f>
        <v>Yes</v>
      </c>
      <c r="S9" s="30" t="str">
        <f t="shared" ref="S9:S18" si="6">IF(R9="Yes","Accept","Mitigate")</f>
        <v>Accept</v>
      </c>
      <c r="T9" s="30" t="s">
        <v>17</v>
      </c>
      <c r="U9" s="30" t="s">
        <v>241</v>
      </c>
      <c r="V9" s="27" t="s">
        <v>633</v>
      </c>
      <c r="W9" s="27" t="s">
        <v>241</v>
      </c>
      <c r="X9" s="27" t="s">
        <v>241</v>
      </c>
      <c r="Y9" s="27" t="s">
        <v>241</v>
      </c>
      <c r="Z9" s="27" t="s">
        <v>241</v>
      </c>
      <c r="AA9" s="27" t="s">
        <v>241</v>
      </c>
    </row>
    <row r="10" spans="1:27" ht="72" x14ac:dyDescent="0.15">
      <c r="A10" s="162"/>
      <c r="B10" s="30" t="s">
        <v>699</v>
      </c>
      <c r="C10" s="162"/>
      <c r="D10" s="164"/>
      <c r="E10" s="34" t="s">
        <v>239</v>
      </c>
      <c r="F10" s="34" t="s">
        <v>240</v>
      </c>
      <c r="G10" s="30">
        <v>5</v>
      </c>
      <c r="H10" s="30">
        <v>4</v>
      </c>
      <c r="I10" s="30">
        <v>5</v>
      </c>
      <c r="J10" s="30">
        <f t="shared" ref="J10:J16" si="7">(I10+H10+G10)</f>
        <v>14</v>
      </c>
      <c r="K10" s="30" t="s">
        <v>96</v>
      </c>
      <c r="L10" s="32" t="s">
        <v>665</v>
      </c>
      <c r="M10" s="30">
        <v>4</v>
      </c>
      <c r="N10" s="30">
        <v>1</v>
      </c>
      <c r="O10" s="30">
        <f>J9*M10*N10</f>
        <v>56</v>
      </c>
      <c r="P10" s="28" t="str">
        <f t="shared" si="4"/>
        <v>Low</v>
      </c>
      <c r="Q10" s="35" t="s">
        <v>688</v>
      </c>
      <c r="R10" s="30" t="str">
        <f t="shared" si="5"/>
        <v>Yes</v>
      </c>
      <c r="S10" s="30" t="str">
        <f t="shared" si="6"/>
        <v>Accept</v>
      </c>
      <c r="T10" s="30" t="s">
        <v>17</v>
      </c>
      <c r="U10" s="30" t="s">
        <v>241</v>
      </c>
      <c r="V10" s="27" t="s">
        <v>633</v>
      </c>
      <c r="W10" s="27" t="s">
        <v>241</v>
      </c>
      <c r="X10" s="27" t="s">
        <v>241</v>
      </c>
      <c r="Y10" s="27" t="s">
        <v>241</v>
      </c>
      <c r="Z10" s="27" t="s">
        <v>241</v>
      </c>
      <c r="AA10" s="27" t="s">
        <v>241</v>
      </c>
    </row>
    <row r="11" spans="1:27" ht="48" x14ac:dyDescent="0.15">
      <c r="A11" s="162"/>
      <c r="B11" s="30" t="s">
        <v>699</v>
      </c>
      <c r="C11" s="162"/>
      <c r="D11" s="164"/>
      <c r="E11" s="34" t="s">
        <v>239</v>
      </c>
      <c r="F11" s="34" t="s">
        <v>240</v>
      </c>
      <c r="G11" s="30">
        <v>5</v>
      </c>
      <c r="H11" s="30">
        <v>4</v>
      </c>
      <c r="I11" s="30">
        <v>5</v>
      </c>
      <c r="J11" s="30">
        <f t="shared" si="7"/>
        <v>14</v>
      </c>
      <c r="K11" s="30" t="s">
        <v>109</v>
      </c>
      <c r="L11" s="32" t="s">
        <v>666</v>
      </c>
      <c r="M11" s="30">
        <v>4</v>
      </c>
      <c r="N11" s="30">
        <v>1</v>
      </c>
      <c r="O11" s="30">
        <f>J9*M11*N11</f>
        <v>56</v>
      </c>
      <c r="P11" s="28" t="str">
        <f t="shared" si="4"/>
        <v>Low</v>
      </c>
      <c r="Q11" s="35" t="s">
        <v>668</v>
      </c>
      <c r="R11" s="30" t="str">
        <f t="shared" si="5"/>
        <v>Yes</v>
      </c>
      <c r="S11" s="30" t="str">
        <f t="shared" si="6"/>
        <v>Accept</v>
      </c>
      <c r="T11" s="30" t="s">
        <v>17</v>
      </c>
      <c r="U11" s="30" t="s">
        <v>241</v>
      </c>
      <c r="V11" s="27" t="s">
        <v>633</v>
      </c>
      <c r="W11" s="27" t="s">
        <v>241</v>
      </c>
      <c r="X11" s="27" t="s">
        <v>241</v>
      </c>
      <c r="Y11" s="27" t="s">
        <v>241</v>
      </c>
      <c r="Z11" s="27" t="s">
        <v>241</v>
      </c>
      <c r="AA11" s="27" t="s">
        <v>241</v>
      </c>
    </row>
    <row r="12" spans="1:27" ht="31.5" customHeight="1" x14ac:dyDescent="0.15">
      <c r="A12" s="162"/>
      <c r="B12" s="30" t="s">
        <v>699</v>
      </c>
      <c r="C12" s="162"/>
      <c r="D12" s="164"/>
      <c r="E12" s="57"/>
      <c r="F12" s="57"/>
      <c r="G12" s="30">
        <v>5</v>
      </c>
      <c r="H12" s="30">
        <v>4</v>
      </c>
      <c r="I12" s="30">
        <v>5</v>
      </c>
      <c r="J12" s="30">
        <f t="shared" si="7"/>
        <v>14</v>
      </c>
      <c r="K12" s="30" t="s">
        <v>89</v>
      </c>
      <c r="L12" s="32" t="s">
        <v>97</v>
      </c>
      <c r="M12" s="30">
        <v>4</v>
      </c>
      <c r="N12" s="30">
        <v>3</v>
      </c>
      <c r="O12" s="30">
        <f>J9*M12*N12</f>
        <v>168</v>
      </c>
      <c r="P12" s="28" t="str">
        <f t="shared" si="4"/>
        <v>Medium</v>
      </c>
      <c r="Q12" s="35" t="s">
        <v>98</v>
      </c>
      <c r="R12" s="30" t="str">
        <f t="shared" si="5"/>
        <v>No</v>
      </c>
      <c r="S12" s="30" t="str">
        <f t="shared" si="6"/>
        <v>Mitigate</v>
      </c>
      <c r="T12" s="30" t="s">
        <v>246</v>
      </c>
      <c r="U12" s="30" t="s">
        <v>252</v>
      </c>
      <c r="V12" s="27" t="s">
        <v>633</v>
      </c>
      <c r="W12" s="30">
        <v>4</v>
      </c>
      <c r="X12" s="30">
        <v>1</v>
      </c>
      <c r="Y12" s="30">
        <f>J9*W12*X12</f>
        <v>56</v>
      </c>
      <c r="Z12" s="30" t="str">
        <f>IF(Y12&lt;94,"No","Yes")</f>
        <v>No</v>
      </c>
      <c r="AA12" s="45" t="s">
        <v>17</v>
      </c>
    </row>
    <row r="13" spans="1:27" ht="24" x14ac:dyDescent="0.15">
      <c r="A13" s="162"/>
      <c r="B13" s="30" t="s">
        <v>699</v>
      </c>
      <c r="C13" s="162"/>
      <c r="D13" s="164"/>
      <c r="E13" s="34" t="s">
        <v>239</v>
      </c>
      <c r="F13" s="34" t="s">
        <v>240</v>
      </c>
      <c r="G13" s="30">
        <v>5</v>
      </c>
      <c r="H13" s="30">
        <v>4</v>
      </c>
      <c r="I13" s="30">
        <v>5</v>
      </c>
      <c r="J13" s="30">
        <f t="shared" si="7"/>
        <v>14</v>
      </c>
      <c r="K13" s="30" t="s">
        <v>58</v>
      </c>
      <c r="L13" s="32" t="s">
        <v>108</v>
      </c>
      <c r="M13" s="30">
        <v>4</v>
      </c>
      <c r="N13" s="30">
        <v>1</v>
      </c>
      <c r="O13" s="30">
        <f>J9*M13*N13</f>
        <v>56</v>
      </c>
      <c r="P13" s="28" t="str">
        <f t="shared" si="4"/>
        <v>Low</v>
      </c>
      <c r="Q13" s="35" t="s">
        <v>669</v>
      </c>
      <c r="R13" s="30" t="str">
        <f t="shared" si="5"/>
        <v>Yes</v>
      </c>
      <c r="S13" s="30" t="str">
        <f t="shared" si="6"/>
        <v>Accept</v>
      </c>
      <c r="T13" s="30" t="s">
        <v>17</v>
      </c>
      <c r="U13" s="30" t="s">
        <v>241</v>
      </c>
      <c r="V13" s="27" t="s">
        <v>633</v>
      </c>
      <c r="W13" s="27" t="s">
        <v>241</v>
      </c>
      <c r="X13" s="27" t="s">
        <v>241</v>
      </c>
      <c r="Y13" s="27" t="s">
        <v>241</v>
      </c>
      <c r="Z13" s="27" t="s">
        <v>241</v>
      </c>
      <c r="AA13" s="27" t="s">
        <v>241</v>
      </c>
    </row>
    <row r="14" spans="1:27" ht="60" x14ac:dyDescent="0.15">
      <c r="A14" s="162"/>
      <c r="B14" s="30" t="s">
        <v>699</v>
      </c>
      <c r="C14" s="162"/>
      <c r="D14" s="164"/>
      <c r="E14" s="34" t="s">
        <v>239</v>
      </c>
      <c r="F14" s="34" t="s">
        <v>240</v>
      </c>
      <c r="G14" s="30">
        <v>5</v>
      </c>
      <c r="H14" s="30">
        <v>4</v>
      </c>
      <c r="I14" s="30">
        <v>5</v>
      </c>
      <c r="J14" s="30">
        <f t="shared" si="7"/>
        <v>14</v>
      </c>
      <c r="K14" s="30" t="s">
        <v>58</v>
      </c>
      <c r="L14" s="32" t="s">
        <v>119</v>
      </c>
      <c r="M14" s="30">
        <v>4</v>
      </c>
      <c r="N14" s="30">
        <v>1</v>
      </c>
      <c r="O14" s="30">
        <f>J9*M14*N14</f>
        <v>56</v>
      </c>
      <c r="P14" s="28" t="str">
        <f t="shared" si="4"/>
        <v>Low</v>
      </c>
      <c r="Q14" s="35" t="s">
        <v>662</v>
      </c>
      <c r="R14" s="30" t="str">
        <f t="shared" si="5"/>
        <v>Yes</v>
      </c>
      <c r="S14" s="30" t="str">
        <f t="shared" si="6"/>
        <v>Accept</v>
      </c>
      <c r="T14" s="30" t="s">
        <v>17</v>
      </c>
      <c r="U14" s="30" t="s">
        <v>241</v>
      </c>
      <c r="V14" s="27" t="s">
        <v>633</v>
      </c>
      <c r="W14" s="27" t="s">
        <v>241</v>
      </c>
      <c r="X14" s="27" t="s">
        <v>241</v>
      </c>
      <c r="Y14" s="27" t="s">
        <v>241</v>
      </c>
      <c r="Z14" s="27" t="s">
        <v>241</v>
      </c>
      <c r="AA14" s="27" t="s">
        <v>241</v>
      </c>
    </row>
    <row r="15" spans="1:27" ht="24" x14ac:dyDescent="0.15">
      <c r="A15" s="162"/>
      <c r="B15" s="30" t="s">
        <v>699</v>
      </c>
      <c r="C15" s="162"/>
      <c r="D15" s="164"/>
      <c r="E15" s="34" t="s">
        <v>239</v>
      </c>
      <c r="F15" s="34" t="s">
        <v>240</v>
      </c>
      <c r="G15" s="30">
        <v>5</v>
      </c>
      <c r="H15" s="30">
        <v>4</v>
      </c>
      <c r="I15" s="30">
        <v>5</v>
      </c>
      <c r="J15" s="30">
        <f t="shared" si="7"/>
        <v>14</v>
      </c>
      <c r="K15" s="30" t="s">
        <v>58</v>
      </c>
      <c r="L15" s="32" t="s">
        <v>116</v>
      </c>
      <c r="M15" s="30">
        <v>4</v>
      </c>
      <c r="N15" s="30">
        <v>1</v>
      </c>
      <c r="O15" s="30">
        <f>J9*M15*N15</f>
        <v>56</v>
      </c>
      <c r="P15" s="28" t="str">
        <f t="shared" si="4"/>
        <v>Low</v>
      </c>
      <c r="Q15" s="35" t="s">
        <v>117</v>
      </c>
      <c r="R15" s="30" t="str">
        <f t="shared" si="5"/>
        <v>Yes</v>
      </c>
      <c r="S15" s="30" t="str">
        <f t="shared" si="6"/>
        <v>Accept</v>
      </c>
      <c r="T15" s="30" t="s">
        <v>17</v>
      </c>
      <c r="U15" s="30" t="s">
        <v>241</v>
      </c>
      <c r="V15" s="27" t="s">
        <v>633</v>
      </c>
      <c r="W15" s="27" t="s">
        <v>241</v>
      </c>
      <c r="X15" s="27" t="s">
        <v>241</v>
      </c>
      <c r="Y15" s="27" t="s">
        <v>241</v>
      </c>
      <c r="Z15" s="27" t="s">
        <v>241</v>
      </c>
      <c r="AA15" s="27" t="s">
        <v>241</v>
      </c>
    </row>
    <row r="16" spans="1:27" ht="31.5" customHeight="1" x14ac:dyDescent="0.15">
      <c r="A16" s="162"/>
      <c r="B16" s="30" t="s">
        <v>699</v>
      </c>
      <c r="C16" s="162"/>
      <c r="D16" s="148"/>
      <c r="E16" s="27"/>
      <c r="F16" s="27"/>
      <c r="G16" s="30">
        <v>5</v>
      </c>
      <c r="H16" s="30">
        <v>4</v>
      </c>
      <c r="I16" s="30">
        <v>5</v>
      </c>
      <c r="J16" s="30">
        <f t="shared" si="7"/>
        <v>14</v>
      </c>
      <c r="K16" s="30" t="s">
        <v>92</v>
      </c>
      <c r="L16" s="32" t="s">
        <v>105</v>
      </c>
      <c r="M16" s="30">
        <v>4</v>
      </c>
      <c r="N16" s="30">
        <v>2</v>
      </c>
      <c r="O16" s="30">
        <f>J9*M16*N16</f>
        <v>112</v>
      </c>
      <c r="P16" s="28" t="str">
        <f t="shared" si="4"/>
        <v>Medium</v>
      </c>
      <c r="Q16" s="65" t="s">
        <v>670</v>
      </c>
      <c r="R16" s="30" t="str">
        <f t="shared" si="5"/>
        <v>No</v>
      </c>
      <c r="S16" s="30" t="str">
        <f t="shared" si="6"/>
        <v>Mitigate</v>
      </c>
      <c r="T16" s="30" t="s">
        <v>671</v>
      </c>
      <c r="U16" s="30" t="s">
        <v>252</v>
      </c>
      <c r="V16" s="27" t="s">
        <v>633</v>
      </c>
      <c r="W16" s="30">
        <v>4</v>
      </c>
      <c r="X16" s="30">
        <v>1</v>
      </c>
      <c r="Y16" s="30">
        <f>J9*W16*X16</f>
        <v>56</v>
      </c>
      <c r="Z16" s="30" t="str">
        <f>IF(Y16&lt;94,"No","Yes")</f>
        <v>No</v>
      </c>
      <c r="AA16" s="45" t="s">
        <v>17</v>
      </c>
    </row>
    <row r="17" spans="1:27" ht="24" x14ac:dyDescent="0.15">
      <c r="A17" s="162">
        <v>3</v>
      </c>
      <c r="B17" s="30" t="s">
        <v>700</v>
      </c>
      <c r="C17" s="162" t="s">
        <v>110</v>
      </c>
      <c r="D17" s="147">
        <v>3</v>
      </c>
      <c r="E17" s="34" t="s">
        <v>239</v>
      </c>
      <c r="F17" s="34" t="s">
        <v>240</v>
      </c>
      <c r="G17" s="30">
        <v>2</v>
      </c>
      <c r="H17" s="30">
        <v>3</v>
      </c>
      <c r="I17" s="30">
        <v>4</v>
      </c>
      <c r="J17" s="30">
        <f>(I17+H17+G17)</f>
        <v>9</v>
      </c>
      <c r="K17" s="30" t="s">
        <v>111</v>
      </c>
      <c r="L17" s="32" t="s">
        <v>112</v>
      </c>
      <c r="M17" s="30">
        <v>4</v>
      </c>
      <c r="N17" s="30">
        <v>2</v>
      </c>
      <c r="O17" s="30">
        <f>J17*M17*N17</f>
        <v>72</v>
      </c>
      <c r="P17" s="28" t="str">
        <f t="shared" si="4"/>
        <v>Low</v>
      </c>
      <c r="Q17" s="35" t="s">
        <v>113</v>
      </c>
      <c r="R17" s="30" t="str">
        <f t="shared" si="5"/>
        <v>Yes</v>
      </c>
      <c r="S17" s="30" t="str">
        <f t="shared" si="6"/>
        <v>Accept</v>
      </c>
      <c r="T17" s="30" t="s">
        <v>17</v>
      </c>
      <c r="U17" s="30" t="s">
        <v>241</v>
      </c>
      <c r="V17" s="27" t="s">
        <v>247</v>
      </c>
      <c r="W17" s="27" t="s">
        <v>241</v>
      </c>
      <c r="X17" s="27" t="s">
        <v>241</v>
      </c>
      <c r="Y17" s="27" t="s">
        <v>241</v>
      </c>
      <c r="Z17" s="27" t="s">
        <v>241</v>
      </c>
      <c r="AA17" s="27" t="s">
        <v>241</v>
      </c>
    </row>
    <row r="18" spans="1:27" ht="24" x14ac:dyDescent="0.15">
      <c r="A18" s="162"/>
      <c r="B18" s="30" t="s">
        <v>700</v>
      </c>
      <c r="C18" s="162"/>
      <c r="D18" s="148"/>
      <c r="E18" s="34" t="s">
        <v>239</v>
      </c>
      <c r="F18" s="34" t="s">
        <v>240</v>
      </c>
      <c r="G18" s="30">
        <v>2</v>
      </c>
      <c r="H18" s="30">
        <v>3</v>
      </c>
      <c r="I18" s="30">
        <v>4</v>
      </c>
      <c r="J18" s="30">
        <f>(I18+H18+G18)</f>
        <v>9</v>
      </c>
      <c r="K18" s="30" t="s">
        <v>96</v>
      </c>
      <c r="L18" s="32" t="s">
        <v>673</v>
      </c>
      <c r="M18" s="30">
        <v>4</v>
      </c>
      <c r="N18" s="30">
        <v>2</v>
      </c>
      <c r="O18" s="30">
        <f>J17*M18*N18</f>
        <v>72</v>
      </c>
      <c r="P18" s="28" t="str">
        <f t="shared" si="4"/>
        <v>Low</v>
      </c>
      <c r="Q18" s="35" t="s">
        <v>114</v>
      </c>
      <c r="R18" s="30" t="str">
        <f t="shared" si="5"/>
        <v>Yes</v>
      </c>
      <c r="S18" s="30" t="str">
        <f t="shared" si="6"/>
        <v>Accept</v>
      </c>
      <c r="T18" s="30" t="s">
        <v>17</v>
      </c>
      <c r="U18" s="30" t="s">
        <v>241</v>
      </c>
      <c r="V18" s="27" t="s">
        <v>247</v>
      </c>
      <c r="W18" s="27" t="s">
        <v>241</v>
      </c>
      <c r="X18" s="27" t="s">
        <v>241</v>
      </c>
      <c r="Y18" s="27" t="s">
        <v>241</v>
      </c>
      <c r="Z18" s="27" t="s">
        <v>241</v>
      </c>
      <c r="AA18" s="27" t="s">
        <v>241</v>
      </c>
    </row>
    <row r="19" spans="1:27" ht="36" x14ac:dyDescent="0.15">
      <c r="A19" s="162">
        <v>4</v>
      </c>
      <c r="B19" s="30" t="s">
        <v>701</v>
      </c>
      <c r="C19" s="30" t="s">
        <v>795</v>
      </c>
      <c r="D19" s="147" t="s">
        <v>316</v>
      </c>
      <c r="E19" s="34" t="s">
        <v>239</v>
      </c>
      <c r="F19" s="34" t="s">
        <v>240</v>
      </c>
      <c r="G19" s="30">
        <v>5</v>
      </c>
      <c r="H19" s="30">
        <v>4</v>
      </c>
      <c r="I19" s="30">
        <v>5</v>
      </c>
      <c r="J19" s="30">
        <f t="shared" si="0"/>
        <v>14</v>
      </c>
      <c r="K19" s="30" t="s">
        <v>90</v>
      </c>
      <c r="L19" s="32" t="s">
        <v>94</v>
      </c>
      <c r="M19" s="30">
        <v>4</v>
      </c>
      <c r="N19" s="30">
        <v>1</v>
      </c>
      <c r="O19" s="30">
        <f>J19*M19*N19</f>
        <v>56</v>
      </c>
      <c r="P19" s="28" t="str">
        <f t="shared" si="1"/>
        <v>Low</v>
      </c>
      <c r="Q19" s="35" t="s">
        <v>667</v>
      </c>
      <c r="R19" s="30" t="str">
        <f t="shared" si="2"/>
        <v>Yes</v>
      </c>
      <c r="S19" s="30" t="str">
        <f t="shared" si="3"/>
        <v>Accept</v>
      </c>
      <c r="T19" s="27" t="s">
        <v>17</v>
      </c>
      <c r="U19" s="27" t="s">
        <v>241</v>
      </c>
      <c r="V19" s="27" t="s">
        <v>247</v>
      </c>
      <c r="W19" s="27" t="s">
        <v>241</v>
      </c>
      <c r="X19" s="27" t="s">
        <v>241</v>
      </c>
      <c r="Y19" s="27" t="s">
        <v>241</v>
      </c>
      <c r="Z19" s="27" t="s">
        <v>241</v>
      </c>
      <c r="AA19" s="27" t="s">
        <v>241</v>
      </c>
    </row>
    <row r="20" spans="1:27" ht="72" x14ac:dyDescent="0.15">
      <c r="A20" s="162"/>
      <c r="B20" s="30" t="s">
        <v>701</v>
      </c>
      <c r="C20" s="30" t="s">
        <v>795</v>
      </c>
      <c r="D20" s="164"/>
      <c r="E20" s="34" t="s">
        <v>239</v>
      </c>
      <c r="F20" s="34" t="s">
        <v>240</v>
      </c>
      <c r="G20" s="30">
        <v>5</v>
      </c>
      <c r="H20" s="30">
        <v>4</v>
      </c>
      <c r="I20" s="30">
        <v>5</v>
      </c>
      <c r="J20" s="30">
        <f t="shared" ref="J20:J32" si="8">(I20+H20+G20)</f>
        <v>14</v>
      </c>
      <c r="K20" s="30" t="s">
        <v>96</v>
      </c>
      <c r="L20" s="32" t="s">
        <v>665</v>
      </c>
      <c r="M20" s="30">
        <v>4</v>
      </c>
      <c r="N20" s="30">
        <v>1</v>
      </c>
      <c r="O20" s="30">
        <f>J19*M20*N20</f>
        <v>56</v>
      </c>
      <c r="P20" s="28" t="str">
        <f t="shared" si="1"/>
        <v>Low</v>
      </c>
      <c r="Q20" s="35" t="s">
        <v>688</v>
      </c>
      <c r="R20" s="30" t="str">
        <f t="shared" si="2"/>
        <v>Yes</v>
      </c>
      <c r="S20" s="30" t="str">
        <f t="shared" si="3"/>
        <v>Accept</v>
      </c>
      <c r="T20" s="27" t="s">
        <v>17</v>
      </c>
      <c r="U20" s="27" t="s">
        <v>241</v>
      </c>
      <c r="V20" s="27" t="s">
        <v>247</v>
      </c>
      <c r="W20" s="27" t="s">
        <v>241</v>
      </c>
      <c r="X20" s="27" t="s">
        <v>241</v>
      </c>
      <c r="Y20" s="27" t="s">
        <v>241</v>
      </c>
      <c r="Z20" s="27" t="s">
        <v>241</v>
      </c>
      <c r="AA20" s="27" t="s">
        <v>241</v>
      </c>
    </row>
    <row r="21" spans="1:27" ht="48" x14ac:dyDescent="0.15">
      <c r="A21" s="162"/>
      <c r="B21" s="30" t="s">
        <v>701</v>
      </c>
      <c r="C21" s="30" t="s">
        <v>795</v>
      </c>
      <c r="D21" s="164"/>
      <c r="E21" s="34" t="s">
        <v>239</v>
      </c>
      <c r="F21" s="34" t="s">
        <v>240</v>
      </c>
      <c r="G21" s="30">
        <v>5</v>
      </c>
      <c r="H21" s="30">
        <v>4</v>
      </c>
      <c r="I21" s="30">
        <v>5</v>
      </c>
      <c r="J21" s="30">
        <f t="shared" si="8"/>
        <v>14</v>
      </c>
      <c r="K21" s="30" t="s">
        <v>109</v>
      </c>
      <c r="L21" s="32" t="s">
        <v>666</v>
      </c>
      <c r="M21" s="30">
        <v>4</v>
      </c>
      <c r="N21" s="30">
        <v>1</v>
      </c>
      <c r="O21" s="30">
        <f>J19*M21*N21</f>
        <v>56</v>
      </c>
      <c r="P21" s="28" t="str">
        <f t="shared" si="1"/>
        <v>Low</v>
      </c>
      <c r="Q21" s="35" t="s">
        <v>668</v>
      </c>
      <c r="R21" s="30" t="str">
        <f t="shared" si="2"/>
        <v>Yes</v>
      </c>
      <c r="S21" s="30" t="str">
        <f t="shared" si="3"/>
        <v>Accept</v>
      </c>
      <c r="T21" s="27" t="s">
        <v>17</v>
      </c>
      <c r="U21" s="27" t="s">
        <v>241</v>
      </c>
      <c r="V21" s="27" t="s">
        <v>247</v>
      </c>
      <c r="W21" s="27" t="s">
        <v>241</v>
      </c>
      <c r="X21" s="27" t="s">
        <v>241</v>
      </c>
      <c r="Y21" s="27" t="s">
        <v>241</v>
      </c>
      <c r="Z21" s="27" t="s">
        <v>241</v>
      </c>
      <c r="AA21" s="27" t="s">
        <v>241</v>
      </c>
    </row>
    <row r="22" spans="1:27" ht="31.5" customHeight="1" x14ac:dyDescent="0.15">
      <c r="A22" s="162"/>
      <c r="B22" s="30" t="s">
        <v>701</v>
      </c>
      <c r="C22" s="30" t="s">
        <v>795</v>
      </c>
      <c r="D22" s="164"/>
      <c r="E22" s="57"/>
      <c r="F22" s="57"/>
      <c r="G22" s="30">
        <v>5</v>
      </c>
      <c r="H22" s="30">
        <v>4</v>
      </c>
      <c r="I22" s="30">
        <v>5</v>
      </c>
      <c r="J22" s="30">
        <f t="shared" si="8"/>
        <v>14</v>
      </c>
      <c r="K22" s="30" t="s">
        <v>89</v>
      </c>
      <c r="L22" s="32" t="s">
        <v>97</v>
      </c>
      <c r="M22" s="30">
        <v>4</v>
      </c>
      <c r="N22" s="30">
        <v>3</v>
      </c>
      <c r="O22" s="30">
        <f>J19*M22*N22</f>
        <v>168</v>
      </c>
      <c r="P22" s="28" t="str">
        <f t="shared" si="1"/>
        <v>Medium</v>
      </c>
      <c r="Q22" s="35" t="s">
        <v>98</v>
      </c>
      <c r="R22" s="30" t="str">
        <f t="shared" si="2"/>
        <v>No</v>
      </c>
      <c r="S22" s="30" t="str">
        <f t="shared" si="3"/>
        <v>Mitigate</v>
      </c>
      <c r="T22" s="30" t="s">
        <v>246</v>
      </c>
      <c r="U22" s="30" t="s">
        <v>247</v>
      </c>
      <c r="V22" s="27" t="s">
        <v>247</v>
      </c>
      <c r="W22" s="30">
        <v>4</v>
      </c>
      <c r="X22" s="30">
        <v>1</v>
      </c>
      <c r="Y22" s="30">
        <f>X22*W22*J19</f>
        <v>56</v>
      </c>
      <c r="Z22" s="30" t="str">
        <f>IF(Y22&lt;94,"No","Yes")</f>
        <v>No</v>
      </c>
      <c r="AA22" s="45" t="s">
        <v>17</v>
      </c>
    </row>
    <row r="23" spans="1:27" ht="52.5" customHeight="1" x14ac:dyDescent="0.15">
      <c r="A23" s="162"/>
      <c r="B23" s="30" t="s">
        <v>701</v>
      </c>
      <c r="C23" s="30" t="s">
        <v>795</v>
      </c>
      <c r="D23" s="164"/>
      <c r="E23" s="57"/>
      <c r="F23" s="57"/>
      <c r="G23" s="30">
        <v>5</v>
      </c>
      <c r="H23" s="30">
        <v>4</v>
      </c>
      <c r="I23" s="30">
        <v>5</v>
      </c>
      <c r="J23" s="30">
        <f t="shared" si="8"/>
        <v>14</v>
      </c>
      <c r="K23" s="162" t="s">
        <v>100</v>
      </c>
      <c r="L23" s="32" t="s">
        <v>125</v>
      </c>
      <c r="M23" s="30">
        <v>4</v>
      </c>
      <c r="N23" s="30">
        <v>3</v>
      </c>
      <c r="O23" s="30">
        <f>J19*M23*N23</f>
        <v>168</v>
      </c>
      <c r="P23" s="28" t="str">
        <f t="shared" si="1"/>
        <v>Medium</v>
      </c>
      <c r="Q23" s="35" t="s">
        <v>123</v>
      </c>
      <c r="R23" s="30" t="str">
        <f t="shared" si="2"/>
        <v>No</v>
      </c>
      <c r="S23" s="30" t="str">
        <f t="shared" si="3"/>
        <v>Mitigate</v>
      </c>
      <c r="T23" s="30" t="s">
        <v>674</v>
      </c>
      <c r="U23" s="30" t="s">
        <v>247</v>
      </c>
      <c r="V23" s="27" t="s">
        <v>247</v>
      </c>
      <c r="W23" s="30">
        <v>4</v>
      </c>
      <c r="X23" s="30">
        <v>1</v>
      </c>
      <c r="Y23" s="30">
        <f>J19*W23*X23</f>
        <v>56</v>
      </c>
      <c r="Z23" s="30" t="str">
        <f>IF(Y23&lt;94,"No","Yes")</f>
        <v>No</v>
      </c>
      <c r="AA23" s="45" t="s">
        <v>17</v>
      </c>
    </row>
    <row r="24" spans="1:27" ht="42" customHeight="1" x14ac:dyDescent="0.15">
      <c r="A24" s="162"/>
      <c r="B24" s="30" t="s">
        <v>701</v>
      </c>
      <c r="C24" s="30" t="s">
        <v>795</v>
      </c>
      <c r="D24" s="164"/>
      <c r="E24" s="57"/>
      <c r="F24" s="57"/>
      <c r="G24" s="30">
        <v>5</v>
      </c>
      <c r="H24" s="30">
        <v>4</v>
      </c>
      <c r="I24" s="30">
        <v>5</v>
      </c>
      <c r="J24" s="30">
        <f t="shared" si="8"/>
        <v>14</v>
      </c>
      <c r="K24" s="162"/>
      <c r="L24" s="32" t="s">
        <v>122</v>
      </c>
      <c r="M24" s="30">
        <v>4</v>
      </c>
      <c r="N24" s="30">
        <v>3</v>
      </c>
      <c r="O24" s="30">
        <f>J19*M24*N24</f>
        <v>168</v>
      </c>
      <c r="P24" s="28" t="str">
        <f t="shared" si="1"/>
        <v>Medium</v>
      </c>
      <c r="Q24" s="35" t="s">
        <v>126</v>
      </c>
      <c r="R24" s="30" t="str">
        <f t="shared" si="2"/>
        <v>No</v>
      </c>
      <c r="S24" s="30" t="str">
        <f t="shared" si="3"/>
        <v>Mitigate</v>
      </c>
      <c r="T24" s="30" t="s">
        <v>248</v>
      </c>
      <c r="U24" s="30" t="s">
        <v>247</v>
      </c>
      <c r="V24" s="27" t="s">
        <v>247</v>
      </c>
      <c r="W24" s="30">
        <v>4</v>
      </c>
      <c r="X24" s="30">
        <v>1</v>
      </c>
      <c r="Y24" s="30">
        <f>J19*W24*X24</f>
        <v>56</v>
      </c>
      <c r="Z24" s="30" t="str">
        <f>IF(Y24&lt;94,"No","Yes")</f>
        <v>No</v>
      </c>
      <c r="AA24" s="45" t="s">
        <v>17</v>
      </c>
    </row>
    <row r="25" spans="1:27" ht="36" x14ac:dyDescent="0.15">
      <c r="A25" s="162"/>
      <c r="B25" s="30" t="s">
        <v>701</v>
      </c>
      <c r="C25" s="30" t="s">
        <v>795</v>
      </c>
      <c r="D25" s="164"/>
      <c r="E25" s="34" t="s">
        <v>239</v>
      </c>
      <c r="F25" s="34" t="s">
        <v>240</v>
      </c>
      <c r="G25" s="30">
        <v>5</v>
      </c>
      <c r="H25" s="30">
        <v>4</v>
      </c>
      <c r="I25" s="30">
        <v>5</v>
      </c>
      <c r="J25" s="30">
        <f t="shared" si="8"/>
        <v>14</v>
      </c>
      <c r="K25" s="162"/>
      <c r="L25" s="32" t="s">
        <v>676</v>
      </c>
      <c r="M25" s="30">
        <v>4</v>
      </c>
      <c r="N25" s="30">
        <v>1</v>
      </c>
      <c r="O25" s="30">
        <f>J19*M25*N25</f>
        <v>56</v>
      </c>
      <c r="P25" s="28" t="str">
        <f t="shared" si="1"/>
        <v>Low</v>
      </c>
      <c r="Q25" s="35" t="s">
        <v>677</v>
      </c>
      <c r="R25" s="30" t="str">
        <f t="shared" si="2"/>
        <v>Yes</v>
      </c>
      <c r="S25" s="30" t="str">
        <f t="shared" si="3"/>
        <v>Accept</v>
      </c>
      <c r="T25" s="30" t="s">
        <v>17</v>
      </c>
      <c r="U25" s="30" t="s">
        <v>241</v>
      </c>
      <c r="V25" s="27" t="s">
        <v>247</v>
      </c>
      <c r="W25" s="27" t="s">
        <v>241</v>
      </c>
      <c r="X25" s="27" t="s">
        <v>241</v>
      </c>
      <c r="Y25" s="27" t="s">
        <v>241</v>
      </c>
      <c r="Z25" s="27" t="s">
        <v>241</v>
      </c>
      <c r="AA25" s="27" t="s">
        <v>241</v>
      </c>
    </row>
    <row r="26" spans="1:27" ht="36" x14ac:dyDescent="0.15">
      <c r="A26" s="162"/>
      <c r="B26" s="30" t="s">
        <v>701</v>
      </c>
      <c r="C26" s="30" t="s">
        <v>795</v>
      </c>
      <c r="D26" s="164"/>
      <c r="E26" s="34" t="s">
        <v>239</v>
      </c>
      <c r="F26" s="34" t="s">
        <v>240</v>
      </c>
      <c r="G26" s="30">
        <v>5</v>
      </c>
      <c r="H26" s="30">
        <v>4</v>
      </c>
      <c r="I26" s="30">
        <v>5</v>
      </c>
      <c r="J26" s="30">
        <f t="shared" si="8"/>
        <v>14</v>
      </c>
      <c r="K26" s="162"/>
      <c r="L26" s="32" t="s">
        <v>163</v>
      </c>
      <c r="M26" s="30">
        <v>4</v>
      </c>
      <c r="N26" s="30">
        <v>1</v>
      </c>
      <c r="O26" s="30">
        <f>J19*M26*N26</f>
        <v>56</v>
      </c>
      <c r="P26" s="28" t="str">
        <f t="shared" si="1"/>
        <v>Low</v>
      </c>
      <c r="Q26" s="35" t="s">
        <v>806</v>
      </c>
      <c r="R26" s="30" t="str">
        <f t="shared" si="2"/>
        <v>Yes</v>
      </c>
      <c r="S26" s="30" t="str">
        <f t="shared" si="3"/>
        <v>Accept</v>
      </c>
      <c r="T26" s="30" t="s">
        <v>241</v>
      </c>
      <c r="U26" s="30" t="s">
        <v>241</v>
      </c>
      <c r="V26" s="27" t="s">
        <v>247</v>
      </c>
      <c r="W26" s="27" t="s">
        <v>241</v>
      </c>
      <c r="X26" s="27" t="s">
        <v>241</v>
      </c>
      <c r="Y26" s="27" t="s">
        <v>241</v>
      </c>
      <c r="Z26" s="27" t="s">
        <v>241</v>
      </c>
      <c r="AA26" s="27" t="s">
        <v>241</v>
      </c>
    </row>
    <row r="27" spans="1:27" ht="42" customHeight="1" x14ac:dyDescent="0.15">
      <c r="A27" s="162"/>
      <c r="B27" s="30" t="s">
        <v>701</v>
      </c>
      <c r="C27" s="30" t="s">
        <v>795</v>
      </c>
      <c r="D27" s="164"/>
      <c r="E27" s="57"/>
      <c r="F27" s="57"/>
      <c r="G27" s="30">
        <v>5</v>
      </c>
      <c r="H27" s="30">
        <v>4</v>
      </c>
      <c r="I27" s="30">
        <v>5</v>
      </c>
      <c r="J27" s="30">
        <f t="shared" si="8"/>
        <v>14</v>
      </c>
      <c r="K27" s="162"/>
      <c r="L27" s="32" t="s">
        <v>101</v>
      </c>
      <c r="M27" s="30">
        <v>4</v>
      </c>
      <c r="N27" s="30">
        <v>2</v>
      </c>
      <c r="O27" s="30">
        <f>J19*M27*N27</f>
        <v>112</v>
      </c>
      <c r="P27" s="28" t="str">
        <f t="shared" si="1"/>
        <v>Medium</v>
      </c>
      <c r="Q27" s="35" t="s">
        <v>102</v>
      </c>
      <c r="R27" s="30" t="str">
        <f t="shared" si="2"/>
        <v>No</v>
      </c>
      <c r="S27" s="30" t="str">
        <f t="shared" si="3"/>
        <v>Mitigate</v>
      </c>
      <c r="T27" s="30" t="s">
        <v>249</v>
      </c>
      <c r="U27" s="30" t="s">
        <v>247</v>
      </c>
      <c r="V27" s="27" t="s">
        <v>247</v>
      </c>
      <c r="W27" s="30">
        <v>4</v>
      </c>
      <c r="X27" s="30">
        <v>1</v>
      </c>
      <c r="Y27" s="30">
        <f>J19*W27*X27</f>
        <v>56</v>
      </c>
      <c r="Z27" s="30" t="str">
        <f>IF(Y27&lt;94,"No","Yes")</f>
        <v>No</v>
      </c>
      <c r="AA27" s="45" t="s">
        <v>17</v>
      </c>
    </row>
    <row r="28" spans="1:27" ht="36" x14ac:dyDescent="0.15">
      <c r="A28" s="162"/>
      <c r="B28" s="30" t="s">
        <v>701</v>
      </c>
      <c r="C28" s="30" t="s">
        <v>795</v>
      </c>
      <c r="D28" s="164"/>
      <c r="E28" s="34" t="s">
        <v>239</v>
      </c>
      <c r="F28" s="34" t="s">
        <v>240</v>
      </c>
      <c r="G28" s="30">
        <v>5</v>
      </c>
      <c r="H28" s="30">
        <v>4</v>
      </c>
      <c r="I28" s="30">
        <v>5</v>
      </c>
      <c r="J28" s="30">
        <f t="shared" si="8"/>
        <v>14</v>
      </c>
      <c r="K28" s="30" t="s">
        <v>91</v>
      </c>
      <c r="L28" s="32" t="s">
        <v>103</v>
      </c>
      <c r="M28" s="30">
        <v>4</v>
      </c>
      <c r="N28" s="30">
        <v>1</v>
      </c>
      <c r="O28" s="30">
        <f>J19*M28*N28</f>
        <v>56</v>
      </c>
      <c r="P28" s="28" t="str">
        <f t="shared" si="1"/>
        <v>Low</v>
      </c>
      <c r="Q28" s="35" t="s">
        <v>104</v>
      </c>
      <c r="R28" s="30" t="str">
        <f t="shared" si="2"/>
        <v>Yes</v>
      </c>
      <c r="S28" s="30" t="str">
        <f t="shared" si="3"/>
        <v>Accept</v>
      </c>
      <c r="T28" s="30" t="s">
        <v>17</v>
      </c>
      <c r="U28" s="30" t="s">
        <v>241</v>
      </c>
      <c r="V28" s="27" t="s">
        <v>247</v>
      </c>
      <c r="W28" s="27" t="s">
        <v>241</v>
      </c>
      <c r="X28" s="27" t="s">
        <v>241</v>
      </c>
      <c r="Y28" s="27" t="s">
        <v>241</v>
      </c>
      <c r="Z28" s="27" t="s">
        <v>241</v>
      </c>
      <c r="AA28" s="27" t="s">
        <v>241</v>
      </c>
    </row>
    <row r="29" spans="1:27" ht="31.5" customHeight="1" x14ac:dyDescent="0.15">
      <c r="A29" s="162"/>
      <c r="B29" s="30" t="s">
        <v>701</v>
      </c>
      <c r="C29" s="30" t="s">
        <v>335</v>
      </c>
      <c r="D29" s="164"/>
      <c r="E29" s="57"/>
      <c r="F29" s="57"/>
      <c r="G29" s="30">
        <v>5</v>
      </c>
      <c r="H29" s="30">
        <v>4</v>
      </c>
      <c r="I29" s="30">
        <v>5</v>
      </c>
      <c r="J29" s="30">
        <f t="shared" si="8"/>
        <v>14</v>
      </c>
      <c r="K29" s="30" t="s">
        <v>92</v>
      </c>
      <c r="L29" s="32" t="s">
        <v>105</v>
      </c>
      <c r="M29" s="30">
        <v>4</v>
      </c>
      <c r="N29" s="30">
        <v>2</v>
      </c>
      <c r="O29" s="30">
        <f>J19*M29*N29</f>
        <v>112</v>
      </c>
      <c r="P29" s="28" t="str">
        <f t="shared" si="1"/>
        <v>Medium</v>
      </c>
      <c r="Q29" s="65" t="s">
        <v>670</v>
      </c>
      <c r="R29" s="30" t="str">
        <f t="shared" si="2"/>
        <v>No</v>
      </c>
      <c r="S29" s="30" t="str">
        <f t="shared" si="3"/>
        <v>Mitigate</v>
      </c>
      <c r="T29" s="30" t="s">
        <v>251</v>
      </c>
      <c r="U29" s="30" t="s">
        <v>247</v>
      </c>
      <c r="V29" s="27" t="s">
        <v>247</v>
      </c>
      <c r="W29" s="30">
        <v>4</v>
      </c>
      <c r="X29" s="30">
        <v>1</v>
      </c>
      <c r="Y29" s="30">
        <f>J19*W29*X29</f>
        <v>56</v>
      </c>
      <c r="Z29" s="30" t="str">
        <f>IF(Y29&lt;94,"No","Yes")</f>
        <v>No</v>
      </c>
      <c r="AA29" s="45" t="s">
        <v>17</v>
      </c>
    </row>
    <row r="30" spans="1:27" ht="48" x14ac:dyDescent="0.15">
      <c r="A30" s="162"/>
      <c r="B30" s="30" t="s">
        <v>701</v>
      </c>
      <c r="C30" s="30" t="s">
        <v>795</v>
      </c>
      <c r="D30" s="164"/>
      <c r="E30" s="34" t="s">
        <v>239</v>
      </c>
      <c r="F30" s="34" t="s">
        <v>240</v>
      </c>
      <c r="G30" s="30">
        <v>5</v>
      </c>
      <c r="H30" s="30">
        <v>4</v>
      </c>
      <c r="I30" s="30">
        <v>5</v>
      </c>
      <c r="J30" s="30">
        <f t="shared" si="8"/>
        <v>14</v>
      </c>
      <c r="K30" s="30" t="s">
        <v>120</v>
      </c>
      <c r="L30" s="32" t="s">
        <v>119</v>
      </c>
      <c r="M30" s="30">
        <v>4</v>
      </c>
      <c r="N30" s="30">
        <v>1</v>
      </c>
      <c r="O30" s="30">
        <f>J19*M30*N30</f>
        <v>56</v>
      </c>
      <c r="P30" s="28" t="str">
        <f t="shared" si="1"/>
        <v>Low</v>
      </c>
      <c r="Q30" s="35" t="s">
        <v>678</v>
      </c>
      <c r="R30" s="30" t="str">
        <f t="shared" si="2"/>
        <v>Yes</v>
      </c>
      <c r="S30" s="30" t="str">
        <f t="shared" si="3"/>
        <v>Accept</v>
      </c>
      <c r="T30" s="30" t="s">
        <v>17</v>
      </c>
      <c r="U30" s="30" t="s">
        <v>241</v>
      </c>
      <c r="V30" s="27" t="s">
        <v>247</v>
      </c>
      <c r="W30" s="27" t="s">
        <v>241</v>
      </c>
      <c r="X30" s="27" t="s">
        <v>241</v>
      </c>
      <c r="Y30" s="27" t="s">
        <v>241</v>
      </c>
      <c r="Z30" s="27" t="s">
        <v>241</v>
      </c>
      <c r="AA30" s="27" t="s">
        <v>241</v>
      </c>
    </row>
    <row r="31" spans="1:27" ht="24" x14ac:dyDescent="0.15">
      <c r="A31" s="162"/>
      <c r="B31" s="30" t="s">
        <v>701</v>
      </c>
      <c r="C31" s="30" t="s">
        <v>335</v>
      </c>
      <c r="D31" s="164"/>
      <c r="E31" s="34" t="s">
        <v>239</v>
      </c>
      <c r="F31" s="34" t="s">
        <v>240</v>
      </c>
      <c r="G31" s="30">
        <v>5</v>
      </c>
      <c r="H31" s="30">
        <v>4</v>
      </c>
      <c r="I31" s="30">
        <v>5</v>
      </c>
      <c r="J31" s="30">
        <f t="shared" si="8"/>
        <v>14</v>
      </c>
      <c r="K31" s="30" t="s">
        <v>120</v>
      </c>
      <c r="L31" s="32" t="s">
        <v>116</v>
      </c>
      <c r="M31" s="30">
        <v>4</v>
      </c>
      <c r="N31" s="30">
        <v>1</v>
      </c>
      <c r="O31" s="30">
        <f>J19*M31*N31</f>
        <v>56</v>
      </c>
      <c r="P31" s="28" t="str">
        <f t="shared" si="1"/>
        <v>Low</v>
      </c>
      <c r="Q31" s="35" t="s">
        <v>117</v>
      </c>
      <c r="R31" s="30" t="str">
        <f t="shared" si="2"/>
        <v>Yes</v>
      </c>
      <c r="S31" s="30" t="str">
        <f t="shared" si="3"/>
        <v>Accept</v>
      </c>
      <c r="T31" s="30" t="s">
        <v>17</v>
      </c>
      <c r="U31" s="30" t="s">
        <v>241</v>
      </c>
      <c r="V31" s="27" t="s">
        <v>247</v>
      </c>
      <c r="W31" s="27" t="s">
        <v>241</v>
      </c>
      <c r="X31" s="27" t="s">
        <v>241</v>
      </c>
      <c r="Y31" s="27" t="s">
        <v>241</v>
      </c>
      <c r="Z31" s="27" t="s">
        <v>241</v>
      </c>
      <c r="AA31" s="27" t="s">
        <v>241</v>
      </c>
    </row>
    <row r="32" spans="1:27" ht="36" customHeight="1" x14ac:dyDescent="0.15">
      <c r="A32" s="162"/>
      <c r="B32" s="30" t="s">
        <v>701</v>
      </c>
      <c r="C32" s="30" t="s">
        <v>795</v>
      </c>
      <c r="D32" s="148"/>
      <c r="E32" s="34" t="s">
        <v>239</v>
      </c>
      <c r="F32" s="34" t="s">
        <v>240</v>
      </c>
      <c r="G32" s="30">
        <v>5</v>
      </c>
      <c r="H32" s="30">
        <v>4</v>
      </c>
      <c r="I32" s="30">
        <v>5</v>
      </c>
      <c r="J32" s="30">
        <f t="shared" si="8"/>
        <v>14</v>
      </c>
      <c r="K32" s="30" t="s">
        <v>93</v>
      </c>
      <c r="L32" s="32" t="s">
        <v>106</v>
      </c>
      <c r="M32" s="30">
        <v>4</v>
      </c>
      <c r="N32" s="30">
        <v>1</v>
      </c>
      <c r="O32" s="30">
        <f>J19*M32*N32</f>
        <v>56</v>
      </c>
      <c r="P32" s="28" t="str">
        <f t="shared" si="1"/>
        <v>Low</v>
      </c>
      <c r="Q32" s="35" t="s">
        <v>679</v>
      </c>
      <c r="R32" s="30" t="str">
        <f t="shared" si="2"/>
        <v>Yes</v>
      </c>
      <c r="S32" s="30" t="str">
        <f t="shared" si="3"/>
        <v>Accept</v>
      </c>
      <c r="T32" s="30" t="s">
        <v>17</v>
      </c>
      <c r="U32" s="30" t="s">
        <v>241</v>
      </c>
      <c r="V32" s="27" t="s">
        <v>247</v>
      </c>
      <c r="W32" s="27" t="s">
        <v>241</v>
      </c>
      <c r="X32" s="27" t="s">
        <v>241</v>
      </c>
      <c r="Y32" s="27" t="s">
        <v>241</v>
      </c>
      <c r="Z32" s="27" t="s">
        <v>241</v>
      </c>
      <c r="AA32" s="27" t="s">
        <v>241</v>
      </c>
    </row>
    <row r="33" spans="1:27" ht="48" x14ac:dyDescent="0.15">
      <c r="A33" s="162">
        <v>5</v>
      </c>
      <c r="B33" s="30" t="s">
        <v>702</v>
      </c>
      <c r="C33" s="214" t="s">
        <v>325</v>
      </c>
      <c r="D33" s="147" t="s">
        <v>326</v>
      </c>
      <c r="E33" s="34" t="s">
        <v>239</v>
      </c>
      <c r="F33" s="34" t="s">
        <v>240</v>
      </c>
      <c r="G33" s="30">
        <v>4</v>
      </c>
      <c r="H33" s="30">
        <v>3</v>
      </c>
      <c r="I33" s="30">
        <v>4</v>
      </c>
      <c r="J33" s="30">
        <f>(I33+H33+G33)</f>
        <v>11</v>
      </c>
      <c r="K33" s="30" t="s">
        <v>90</v>
      </c>
      <c r="L33" s="32" t="s">
        <v>680</v>
      </c>
      <c r="M33" s="30">
        <v>4</v>
      </c>
      <c r="N33" s="30">
        <v>2</v>
      </c>
      <c r="O33" s="30">
        <f>J33*M33*N33</f>
        <v>88</v>
      </c>
      <c r="P33" s="28" t="str">
        <f t="shared" si="1"/>
        <v>Low</v>
      </c>
      <c r="Q33" s="35" t="s">
        <v>681</v>
      </c>
      <c r="R33" s="30" t="str">
        <f t="shared" si="2"/>
        <v>Yes</v>
      </c>
      <c r="S33" s="30" t="str">
        <f t="shared" si="3"/>
        <v>Accept</v>
      </c>
      <c r="T33" s="30" t="s">
        <v>17</v>
      </c>
      <c r="U33" s="30" t="s">
        <v>241</v>
      </c>
      <c r="V33" s="27" t="s">
        <v>643</v>
      </c>
      <c r="W33" s="27" t="s">
        <v>241</v>
      </c>
      <c r="X33" s="27" t="s">
        <v>241</v>
      </c>
      <c r="Y33" s="27" t="s">
        <v>241</v>
      </c>
      <c r="Z33" s="27" t="s">
        <v>241</v>
      </c>
      <c r="AA33" s="27" t="s">
        <v>241</v>
      </c>
    </row>
    <row r="34" spans="1:27" ht="63" customHeight="1" x14ac:dyDescent="0.15">
      <c r="A34" s="162"/>
      <c r="B34" s="30" t="s">
        <v>702</v>
      </c>
      <c r="C34" s="162"/>
      <c r="D34" s="164"/>
      <c r="E34" s="57"/>
      <c r="F34" s="57"/>
      <c r="G34" s="30">
        <v>4</v>
      </c>
      <c r="H34" s="30">
        <v>3</v>
      </c>
      <c r="I34" s="30">
        <v>4</v>
      </c>
      <c r="J34" s="30">
        <f t="shared" ref="J34:J44" si="9">(I34+H34+G34)</f>
        <v>11</v>
      </c>
      <c r="K34" s="30" t="s">
        <v>96</v>
      </c>
      <c r="L34" s="32" t="s">
        <v>665</v>
      </c>
      <c r="M34" s="30">
        <v>4</v>
      </c>
      <c r="N34" s="30">
        <v>3</v>
      </c>
      <c r="O34" s="30">
        <f>J33*M34*N34</f>
        <v>132</v>
      </c>
      <c r="P34" s="28" t="str">
        <f t="shared" ref="P34:P35" si="10">IF(O34&lt;=94,"Low",IF(AND(O34&gt;94,O34&lt;=188),"Medium",IF(AND(O34&gt;188,O34&lt;=282),"High",IF(AND(O34&gt;282,O34&lt;=375),"Critical","Error"))))</f>
        <v>Medium</v>
      </c>
      <c r="Q34" s="35" t="s">
        <v>688</v>
      </c>
      <c r="R34" s="30" t="str">
        <f t="shared" si="2"/>
        <v>No</v>
      </c>
      <c r="S34" s="30" t="str">
        <f t="shared" si="3"/>
        <v>Mitigate</v>
      </c>
      <c r="T34" s="30" t="s">
        <v>682</v>
      </c>
      <c r="U34" s="30" t="s">
        <v>250</v>
      </c>
      <c r="V34" s="27" t="s">
        <v>643</v>
      </c>
      <c r="W34" s="30">
        <v>4</v>
      </c>
      <c r="X34" s="30">
        <v>1</v>
      </c>
      <c r="Y34" s="30">
        <f>J33*W34*X34</f>
        <v>44</v>
      </c>
      <c r="Z34" s="30" t="str">
        <f>IF(Y34&lt;94,"No","Yes")</f>
        <v>No</v>
      </c>
      <c r="AA34" s="45" t="s">
        <v>17</v>
      </c>
    </row>
    <row r="35" spans="1:27" ht="48" x14ac:dyDescent="0.15">
      <c r="A35" s="162"/>
      <c r="B35" s="30" t="s">
        <v>702</v>
      </c>
      <c r="C35" s="162"/>
      <c r="D35" s="164"/>
      <c r="E35" s="34" t="s">
        <v>239</v>
      </c>
      <c r="F35" s="34" t="s">
        <v>240</v>
      </c>
      <c r="G35" s="30">
        <v>4</v>
      </c>
      <c r="H35" s="30">
        <v>3</v>
      </c>
      <c r="I35" s="30">
        <v>4</v>
      </c>
      <c r="J35" s="30">
        <f t="shared" si="9"/>
        <v>11</v>
      </c>
      <c r="K35" s="30" t="s">
        <v>109</v>
      </c>
      <c r="L35" s="32" t="s">
        <v>666</v>
      </c>
      <c r="M35" s="30">
        <v>4</v>
      </c>
      <c r="N35" s="30">
        <v>1</v>
      </c>
      <c r="O35" s="30">
        <f>J33*M35*N35</f>
        <v>44</v>
      </c>
      <c r="P35" s="28" t="str">
        <f t="shared" si="10"/>
        <v>Low</v>
      </c>
      <c r="Q35" s="35" t="s">
        <v>668</v>
      </c>
      <c r="R35" s="30" t="str">
        <f t="shared" si="2"/>
        <v>Yes</v>
      </c>
      <c r="S35" s="30" t="str">
        <f t="shared" si="3"/>
        <v>Accept</v>
      </c>
      <c r="T35" s="30" t="s">
        <v>17</v>
      </c>
      <c r="U35" s="30" t="s">
        <v>241</v>
      </c>
      <c r="V35" s="27" t="s">
        <v>643</v>
      </c>
      <c r="W35" s="27" t="s">
        <v>241</v>
      </c>
      <c r="X35" s="27" t="s">
        <v>241</v>
      </c>
      <c r="Y35" s="27" t="s">
        <v>241</v>
      </c>
      <c r="Z35" s="27" t="s">
        <v>241</v>
      </c>
      <c r="AA35" s="27" t="s">
        <v>241</v>
      </c>
    </row>
    <row r="36" spans="1:27" ht="31.5" customHeight="1" x14ac:dyDescent="0.15">
      <c r="A36" s="162"/>
      <c r="B36" s="30" t="s">
        <v>702</v>
      </c>
      <c r="C36" s="162"/>
      <c r="D36" s="164"/>
      <c r="E36" s="57"/>
      <c r="F36" s="57"/>
      <c r="G36" s="30">
        <v>4</v>
      </c>
      <c r="H36" s="30">
        <v>3</v>
      </c>
      <c r="I36" s="30">
        <v>4</v>
      </c>
      <c r="J36" s="30">
        <f t="shared" si="9"/>
        <v>11</v>
      </c>
      <c r="K36" s="30" t="s">
        <v>89</v>
      </c>
      <c r="L36" s="32" t="s">
        <v>97</v>
      </c>
      <c r="M36" s="30">
        <v>4</v>
      </c>
      <c r="N36" s="30">
        <v>3</v>
      </c>
      <c r="O36" s="30">
        <f>J33*M36*N36</f>
        <v>132</v>
      </c>
      <c r="P36" s="28" t="str">
        <f t="shared" si="1"/>
        <v>Medium</v>
      </c>
      <c r="Q36" s="35" t="s">
        <v>98</v>
      </c>
      <c r="R36" s="30" t="str">
        <f t="shared" si="2"/>
        <v>No</v>
      </c>
      <c r="S36" s="30" t="str">
        <f t="shared" si="3"/>
        <v>Mitigate</v>
      </c>
      <c r="T36" s="30" t="s">
        <v>246</v>
      </c>
      <c r="U36" s="30" t="s">
        <v>244</v>
      </c>
      <c r="V36" s="27" t="s">
        <v>643</v>
      </c>
      <c r="W36" s="30">
        <v>4</v>
      </c>
      <c r="X36" s="30">
        <v>1</v>
      </c>
      <c r="Y36" s="30">
        <f>J33*W36*X36</f>
        <v>44</v>
      </c>
      <c r="Z36" s="30" t="str">
        <f>IF(Y36&lt;94,"No","Yes")</f>
        <v>No</v>
      </c>
      <c r="AA36" s="45" t="s">
        <v>17</v>
      </c>
    </row>
    <row r="37" spans="1:27" ht="52.5" customHeight="1" x14ac:dyDescent="0.15">
      <c r="A37" s="162"/>
      <c r="B37" s="30" t="s">
        <v>702</v>
      </c>
      <c r="C37" s="162"/>
      <c r="D37" s="164"/>
      <c r="E37" s="57"/>
      <c r="F37" s="57"/>
      <c r="G37" s="30">
        <v>4</v>
      </c>
      <c r="H37" s="30">
        <v>3</v>
      </c>
      <c r="I37" s="30">
        <v>4</v>
      </c>
      <c r="J37" s="30">
        <f t="shared" si="9"/>
        <v>11</v>
      </c>
      <c r="K37" s="162" t="s">
        <v>100</v>
      </c>
      <c r="L37" s="32" t="s">
        <v>125</v>
      </c>
      <c r="M37" s="30">
        <v>4</v>
      </c>
      <c r="N37" s="30">
        <v>3</v>
      </c>
      <c r="O37" s="30">
        <f>J33*M37*N37</f>
        <v>132</v>
      </c>
      <c r="P37" s="28" t="str">
        <f t="shared" si="1"/>
        <v>Medium</v>
      </c>
      <c r="Q37" s="35" t="s">
        <v>123</v>
      </c>
      <c r="R37" s="30" t="str">
        <f t="shared" si="2"/>
        <v>No</v>
      </c>
      <c r="S37" s="30" t="str">
        <f t="shared" si="3"/>
        <v>Mitigate</v>
      </c>
      <c r="T37" s="30" t="s">
        <v>674</v>
      </c>
      <c r="U37" s="30" t="s">
        <v>244</v>
      </c>
      <c r="V37" s="27" t="s">
        <v>643</v>
      </c>
      <c r="W37" s="30">
        <v>4</v>
      </c>
      <c r="X37" s="30">
        <v>1</v>
      </c>
      <c r="Y37" s="30">
        <f>J33*W37*X37</f>
        <v>44</v>
      </c>
      <c r="Z37" s="30" t="str">
        <f>IF(Y37&lt;94,"No","Yes")</f>
        <v>No</v>
      </c>
      <c r="AA37" s="45" t="s">
        <v>17</v>
      </c>
    </row>
    <row r="38" spans="1:27" ht="31.5" customHeight="1" x14ac:dyDescent="0.15">
      <c r="A38" s="162"/>
      <c r="B38" s="30" t="s">
        <v>702</v>
      </c>
      <c r="C38" s="162"/>
      <c r="D38" s="164"/>
      <c r="E38" s="57"/>
      <c r="F38" s="57"/>
      <c r="G38" s="30">
        <v>4</v>
      </c>
      <c r="H38" s="30">
        <v>3</v>
      </c>
      <c r="I38" s="30">
        <v>4</v>
      </c>
      <c r="J38" s="30">
        <f t="shared" si="9"/>
        <v>11</v>
      </c>
      <c r="K38" s="162"/>
      <c r="L38" s="32" t="s">
        <v>122</v>
      </c>
      <c r="M38" s="30">
        <v>4</v>
      </c>
      <c r="N38" s="30">
        <v>3</v>
      </c>
      <c r="O38" s="30">
        <f>J33*M38*N38</f>
        <v>132</v>
      </c>
      <c r="P38" s="28" t="str">
        <f t="shared" si="1"/>
        <v>Medium</v>
      </c>
      <c r="Q38" s="35" t="s">
        <v>126</v>
      </c>
      <c r="R38" s="30" t="str">
        <f t="shared" si="2"/>
        <v>No</v>
      </c>
      <c r="S38" s="30" t="str">
        <f t="shared" si="3"/>
        <v>Mitigate</v>
      </c>
      <c r="T38" s="30" t="s">
        <v>684</v>
      </c>
      <c r="U38" s="30" t="s">
        <v>244</v>
      </c>
      <c r="V38" s="27" t="s">
        <v>643</v>
      </c>
      <c r="W38" s="30">
        <v>4</v>
      </c>
      <c r="X38" s="30">
        <v>1</v>
      </c>
      <c r="Y38" s="30">
        <f>J33*W38*X38</f>
        <v>44</v>
      </c>
      <c r="Z38" s="30" t="str">
        <f>IF(Y38&lt;94,"No","Yes")</f>
        <v>No</v>
      </c>
      <c r="AA38" s="45" t="s">
        <v>17</v>
      </c>
    </row>
    <row r="39" spans="1:27" ht="36" x14ac:dyDescent="0.15">
      <c r="A39" s="162"/>
      <c r="B39" s="30" t="s">
        <v>702</v>
      </c>
      <c r="C39" s="162"/>
      <c r="D39" s="164"/>
      <c r="E39" s="34" t="s">
        <v>239</v>
      </c>
      <c r="F39" s="34" t="s">
        <v>240</v>
      </c>
      <c r="G39" s="30">
        <v>4</v>
      </c>
      <c r="H39" s="30">
        <v>3</v>
      </c>
      <c r="I39" s="30">
        <v>4</v>
      </c>
      <c r="J39" s="30">
        <f t="shared" si="9"/>
        <v>11</v>
      </c>
      <c r="K39" s="162"/>
      <c r="L39" s="32" t="s">
        <v>121</v>
      </c>
      <c r="M39" s="30">
        <v>4</v>
      </c>
      <c r="N39" s="30">
        <v>1</v>
      </c>
      <c r="O39" s="30">
        <f>J33*M39*N39</f>
        <v>44</v>
      </c>
      <c r="P39" s="28" t="str">
        <f t="shared" si="1"/>
        <v>Low</v>
      </c>
      <c r="Q39" s="35" t="s">
        <v>128</v>
      </c>
      <c r="R39" s="30" t="str">
        <f t="shared" si="2"/>
        <v>Yes</v>
      </c>
      <c r="S39" s="30" t="str">
        <f t="shared" si="3"/>
        <v>Accept</v>
      </c>
      <c r="T39" s="30" t="s">
        <v>17</v>
      </c>
      <c r="U39" s="30" t="s">
        <v>241</v>
      </c>
      <c r="V39" s="27" t="s">
        <v>643</v>
      </c>
      <c r="W39" s="27" t="s">
        <v>241</v>
      </c>
      <c r="X39" s="27" t="s">
        <v>241</v>
      </c>
      <c r="Y39" s="27" t="s">
        <v>241</v>
      </c>
      <c r="Z39" s="27" t="s">
        <v>241</v>
      </c>
      <c r="AA39" s="27" t="s">
        <v>241</v>
      </c>
    </row>
    <row r="40" spans="1:27" ht="42" customHeight="1" x14ac:dyDescent="0.15">
      <c r="A40" s="162"/>
      <c r="B40" s="30" t="s">
        <v>702</v>
      </c>
      <c r="C40" s="162"/>
      <c r="D40" s="164"/>
      <c r="E40" s="57"/>
      <c r="F40" s="57"/>
      <c r="G40" s="30">
        <v>4</v>
      </c>
      <c r="H40" s="30">
        <v>3</v>
      </c>
      <c r="I40" s="30">
        <v>4</v>
      </c>
      <c r="J40" s="30">
        <f t="shared" si="9"/>
        <v>11</v>
      </c>
      <c r="K40" s="162"/>
      <c r="L40" s="32" t="s">
        <v>101</v>
      </c>
      <c r="M40" s="30">
        <v>4</v>
      </c>
      <c r="N40" s="30">
        <v>3</v>
      </c>
      <c r="O40" s="30">
        <f>J33*M40*N40</f>
        <v>132</v>
      </c>
      <c r="P40" s="28" t="str">
        <f t="shared" si="1"/>
        <v>Medium</v>
      </c>
      <c r="Q40" s="35" t="s">
        <v>102</v>
      </c>
      <c r="R40" s="30" t="str">
        <f t="shared" si="2"/>
        <v>No</v>
      </c>
      <c r="S40" s="30" t="str">
        <f t="shared" si="3"/>
        <v>Mitigate</v>
      </c>
      <c r="T40" s="30" t="s">
        <v>249</v>
      </c>
      <c r="U40" s="30" t="s">
        <v>244</v>
      </c>
      <c r="V40" s="27" t="s">
        <v>643</v>
      </c>
      <c r="W40" s="30">
        <v>4</v>
      </c>
      <c r="X40" s="30">
        <v>1</v>
      </c>
      <c r="Y40" s="30">
        <f>J33*W40*X40</f>
        <v>44</v>
      </c>
      <c r="Z40" s="30" t="str">
        <f>IF(Y40&lt;94,"No","Yes")</f>
        <v>No</v>
      </c>
      <c r="AA40" s="45" t="s">
        <v>17</v>
      </c>
    </row>
    <row r="41" spans="1:27" ht="48" x14ac:dyDescent="0.15">
      <c r="A41" s="162"/>
      <c r="B41" s="30" t="s">
        <v>702</v>
      </c>
      <c r="C41" s="162"/>
      <c r="D41" s="164"/>
      <c r="E41" s="34" t="s">
        <v>239</v>
      </c>
      <c r="F41" s="34" t="s">
        <v>240</v>
      </c>
      <c r="G41" s="30">
        <v>4</v>
      </c>
      <c r="H41" s="30">
        <v>3</v>
      </c>
      <c r="I41" s="30">
        <v>4</v>
      </c>
      <c r="J41" s="30">
        <f t="shared" si="9"/>
        <v>11</v>
      </c>
      <c r="K41" s="30" t="s">
        <v>91</v>
      </c>
      <c r="L41" s="32" t="s">
        <v>131</v>
      </c>
      <c r="M41" s="30">
        <v>4</v>
      </c>
      <c r="N41" s="30">
        <v>1</v>
      </c>
      <c r="O41" s="30">
        <f>J33*M41*N41</f>
        <v>44</v>
      </c>
      <c r="P41" s="28" t="str">
        <f t="shared" si="1"/>
        <v>Low</v>
      </c>
      <c r="Q41" s="35" t="s">
        <v>685</v>
      </c>
      <c r="R41" s="30" t="str">
        <f t="shared" si="2"/>
        <v>Yes</v>
      </c>
      <c r="S41" s="30" t="str">
        <f t="shared" si="3"/>
        <v>Accept</v>
      </c>
      <c r="T41" s="30" t="s">
        <v>17</v>
      </c>
      <c r="U41" s="30" t="s">
        <v>241</v>
      </c>
      <c r="V41" s="27" t="s">
        <v>643</v>
      </c>
      <c r="W41" s="27" t="s">
        <v>241</v>
      </c>
      <c r="X41" s="27" t="s">
        <v>241</v>
      </c>
      <c r="Y41" s="27" t="s">
        <v>241</v>
      </c>
      <c r="Z41" s="27" t="s">
        <v>241</v>
      </c>
      <c r="AA41" s="27" t="s">
        <v>241</v>
      </c>
    </row>
    <row r="42" spans="1:27" ht="31.5" customHeight="1" x14ac:dyDescent="0.15">
      <c r="A42" s="162"/>
      <c r="B42" s="30" t="s">
        <v>702</v>
      </c>
      <c r="C42" s="162"/>
      <c r="D42" s="164"/>
      <c r="E42" s="57"/>
      <c r="F42" s="57"/>
      <c r="G42" s="30">
        <v>4</v>
      </c>
      <c r="H42" s="30">
        <v>3</v>
      </c>
      <c r="I42" s="30">
        <v>4</v>
      </c>
      <c r="J42" s="30">
        <f t="shared" si="9"/>
        <v>11</v>
      </c>
      <c r="K42" s="30" t="s">
        <v>92</v>
      </c>
      <c r="L42" s="32" t="s">
        <v>105</v>
      </c>
      <c r="M42" s="30">
        <v>4</v>
      </c>
      <c r="N42" s="30">
        <v>3</v>
      </c>
      <c r="O42" s="30">
        <f>J33*M42*N42</f>
        <v>132</v>
      </c>
      <c r="P42" s="28" t="str">
        <f t="shared" si="1"/>
        <v>Medium</v>
      </c>
      <c r="Q42" s="35" t="s">
        <v>132</v>
      </c>
      <c r="R42" s="30" t="str">
        <f t="shared" si="2"/>
        <v>No</v>
      </c>
      <c r="S42" s="30" t="str">
        <f t="shared" si="3"/>
        <v>Mitigate</v>
      </c>
      <c r="T42" s="30" t="s">
        <v>251</v>
      </c>
      <c r="U42" s="30" t="s">
        <v>244</v>
      </c>
      <c r="V42" s="27" t="s">
        <v>643</v>
      </c>
      <c r="W42" s="30">
        <v>4</v>
      </c>
      <c r="X42" s="30">
        <v>1</v>
      </c>
      <c r="Y42" s="30">
        <f>J33*W42*X42</f>
        <v>44</v>
      </c>
      <c r="Z42" s="30" t="str">
        <f>IF(Y42&lt;94,"No","Yes")</f>
        <v>No</v>
      </c>
      <c r="AA42" s="45" t="s">
        <v>17</v>
      </c>
    </row>
    <row r="43" spans="1:27" ht="60" x14ac:dyDescent="0.15">
      <c r="A43" s="162"/>
      <c r="B43" s="30" t="s">
        <v>702</v>
      </c>
      <c r="C43" s="162"/>
      <c r="D43" s="164"/>
      <c r="E43" s="34" t="s">
        <v>239</v>
      </c>
      <c r="F43" s="34" t="s">
        <v>240</v>
      </c>
      <c r="G43" s="30">
        <v>4</v>
      </c>
      <c r="H43" s="30">
        <v>3</v>
      </c>
      <c r="I43" s="30">
        <v>4</v>
      </c>
      <c r="J43" s="30">
        <f t="shared" si="9"/>
        <v>11</v>
      </c>
      <c r="K43" s="30" t="s">
        <v>120</v>
      </c>
      <c r="L43" s="32" t="s">
        <v>119</v>
      </c>
      <c r="M43" s="30">
        <v>4</v>
      </c>
      <c r="N43" s="30">
        <v>1</v>
      </c>
      <c r="O43" s="30">
        <f>J33*M43*N43</f>
        <v>44</v>
      </c>
      <c r="P43" s="28" t="str">
        <f t="shared" si="1"/>
        <v>Low</v>
      </c>
      <c r="Q43" s="35" t="s">
        <v>662</v>
      </c>
      <c r="R43" s="30" t="str">
        <f t="shared" si="2"/>
        <v>Yes</v>
      </c>
      <c r="S43" s="30" t="str">
        <f t="shared" si="3"/>
        <v>Accept</v>
      </c>
      <c r="T43" s="30" t="s">
        <v>17</v>
      </c>
      <c r="U43" s="30" t="s">
        <v>241</v>
      </c>
      <c r="V43" s="27" t="s">
        <v>643</v>
      </c>
      <c r="W43" s="27" t="s">
        <v>241</v>
      </c>
      <c r="X43" s="27" t="s">
        <v>241</v>
      </c>
      <c r="Y43" s="27" t="s">
        <v>241</v>
      </c>
      <c r="Z43" s="27" t="s">
        <v>241</v>
      </c>
      <c r="AA43" s="27" t="s">
        <v>241</v>
      </c>
    </row>
    <row r="44" spans="1:27" ht="36" x14ac:dyDescent="0.15">
      <c r="A44" s="162"/>
      <c r="B44" s="30" t="s">
        <v>702</v>
      </c>
      <c r="C44" s="162"/>
      <c r="D44" s="148"/>
      <c r="E44" s="34" t="s">
        <v>239</v>
      </c>
      <c r="F44" s="34" t="s">
        <v>240</v>
      </c>
      <c r="G44" s="30">
        <v>4</v>
      </c>
      <c r="H44" s="30">
        <v>3</v>
      </c>
      <c r="I44" s="30">
        <v>4</v>
      </c>
      <c r="J44" s="30">
        <f t="shared" si="9"/>
        <v>11</v>
      </c>
      <c r="K44" s="30" t="s">
        <v>120</v>
      </c>
      <c r="L44" s="32" t="s">
        <v>116</v>
      </c>
      <c r="M44" s="30">
        <v>4</v>
      </c>
      <c r="N44" s="30">
        <v>1</v>
      </c>
      <c r="O44" s="30">
        <f>J33*M44*N44</f>
        <v>44</v>
      </c>
      <c r="P44" s="28" t="str">
        <f t="shared" si="1"/>
        <v>Low</v>
      </c>
      <c r="Q44" s="35" t="s">
        <v>117</v>
      </c>
      <c r="R44" s="30" t="str">
        <f t="shared" si="2"/>
        <v>Yes</v>
      </c>
      <c r="S44" s="30" t="str">
        <f t="shared" si="3"/>
        <v>Accept</v>
      </c>
      <c r="T44" s="30" t="s">
        <v>17</v>
      </c>
      <c r="U44" s="30" t="s">
        <v>241</v>
      </c>
      <c r="V44" s="27" t="s">
        <v>643</v>
      </c>
      <c r="W44" s="27" t="s">
        <v>241</v>
      </c>
      <c r="X44" s="27" t="s">
        <v>241</v>
      </c>
      <c r="Y44" s="27" t="s">
        <v>241</v>
      </c>
      <c r="Z44" s="27" t="s">
        <v>241</v>
      </c>
      <c r="AA44" s="27" t="s">
        <v>241</v>
      </c>
    </row>
    <row r="45" spans="1:27" ht="60" x14ac:dyDescent="0.15">
      <c r="A45" s="162">
        <v>6</v>
      </c>
      <c r="B45" s="30" t="s">
        <v>703</v>
      </c>
      <c r="C45" s="162" t="s">
        <v>328</v>
      </c>
      <c r="D45" s="147" t="s">
        <v>306</v>
      </c>
      <c r="E45" s="34" t="s">
        <v>239</v>
      </c>
      <c r="F45" s="34" t="s">
        <v>240</v>
      </c>
      <c r="G45" s="30">
        <v>2</v>
      </c>
      <c r="H45" s="30">
        <v>4</v>
      </c>
      <c r="I45" s="30">
        <v>4</v>
      </c>
      <c r="J45" s="30">
        <f t="shared" ref="J45:J61" si="11">(I45+H45+G45)</f>
        <v>10</v>
      </c>
      <c r="K45" s="30" t="s">
        <v>115</v>
      </c>
      <c r="L45" s="38" t="s">
        <v>60</v>
      </c>
      <c r="M45" s="30">
        <v>4</v>
      </c>
      <c r="N45" s="30">
        <v>1</v>
      </c>
      <c r="O45" s="30">
        <f>J45*M45*N45</f>
        <v>40</v>
      </c>
      <c r="P45" s="28" t="str">
        <f t="shared" ref="P45:P61" si="12">IF(O45&lt;=94,"Low",IF(AND(O45&gt;94,O45&lt;=188),"Medium",IF(AND(O45&gt;188,O45&lt;=282),"High",IF(AND(O45&gt;282,O45&lt;=375),"Critical","Error"))))</f>
        <v>Low</v>
      </c>
      <c r="Q45" s="35" t="s">
        <v>662</v>
      </c>
      <c r="R45" s="30" t="str">
        <f t="shared" ref="R45:R59" si="13">IF(O45&gt;94,"No","Yes")</f>
        <v>Yes</v>
      </c>
      <c r="S45" s="30" t="str">
        <f t="shared" ref="S45:S59" si="14">IF(R45="Yes","Accept","Mitigate")</f>
        <v>Accept</v>
      </c>
      <c r="T45" s="30" t="s">
        <v>17</v>
      </c>
      <c r="U45" s="30" t="s">
        <v>241</v>
      </c>
      <c r="V45" s="27" t="s">
        <v>643</v>
      </c>
      <c r="W45" s="27" t="s">
        <v>241</v>
      </c>
      <c r="X45" s="27" t="s">
        <v>241</v>
      </c>
      <c r="Y45" s="27" t="s">
        <v>241</v>
      </c>
      <c r="Z45" s="27" t="s">
        <v>241</v>
      </c>
      <c r="AA45" s="27" t="s">
        <v>241</v>
      </c>
    </row>
    <row r="46" spans="1:27" ht="45" customHeight="1" x14ac:dyDescent="0.15">
      <c r="A46" s="162"/>
      <c r="B46" s="30" t="s">
        <v>703</v>
      </c>
      <c r="C46" s="162"/>
      <c r="D46" s="164"/>
      <c r="E46" s="34" t="s">
        <v>239</v>
      </c>
      <c r="F46" s="34" t="s">
        <v>240</v>
      </c>
      <c r="G46" s="30">
        <v>2</v>
      </c>
      <c r="H46" s="30">
        <v>4</v>
      </c>
      <c r="I46" s="30">
        <v>4</v>
      </c>
      <c r="J46" s="30">
        <f t="shared" si="11"/>
        <v>10</v>
      </c>
      <c r="K46" s="30" t="s">
        <v>115</v>
      </c>
      <c r="L46" s="38" t="s">
        <v>116</v>
      </c>
      <c r="M46" s="30">
        <v>4</v>
      </c>
      <c r="N46" s="30">
        <v>1</v>
      </c>
      <c r="O46" s="30">
        <f>J45*M46*N46</f>
        <v>40</v>
      </c>
      <c r="P46" s="28" t="str">
        <f t="shared" si="12"/>
        <v>Low</v>
      </c>
      <c r="Q46" s="35" t="s">
        <v>138</v>
      </c>
      <c r="R46" s="30" t="str">
        <f t="shared" si="13"/>
        <v>Yes</v>
      </c>
      <c r="S46" s="30" t="str">
        <f t="shared" si="14"/>
        <v>Accept</v>
      </c>
      <c r="T46" s="30" t="s">
        <v>17</v>
      </c>
      <c r="U46" s="30" t="s">
        <v>241</v>
      </c>
      <c r="V46" s="27" t="s">
        <v>643</v>
      </c>
      <c r="W46" s="27" t="s">
        <v>241</v>
      </c>
      <c r="X46" s="27" t="s">
        <v>241</v>
      </c>
      <c r="Y46" s="27" t="s">
        <v>241</v>
      </c>
      <c r="Z46" s="27" t="s">
        <v>241</v>
      </c>
      <c r="AA46" s="27" t="s">
        <v>241</v>
      </c>
    </row>
    <row r="47" spans="1:27" ht="72" x14ac:dyDescent="0.15">
      <c r="A47" s="162"/>
      <c r="B47" s="30" t="s">
        <v>703</v>
      </c>
      <c r="C47" s="162"/>
      <c r="D47" s="148"/>
      <c r="E47" s="34" t="s">
        <v>239</v>
      </c>
      <c r="F47" s="34" t="s">
        <v>240</v>
      </c>
      <c r="G47" s="30">
        <v>2</v>
      </c>
      <c r="H47" s="30">
        <v>4</v>
      </c>
      <c r="I47" s="30">
        <v>4</v>
      </c>
      <c r="J47" s="30">
        <f t="shared" si="11"/>
        <v>10</v>
      </c>
      <c r="K47" s="30" t="s">
        <v>96</v>
      </c>
      <c r="L47" s="32" t="s">
        <v>665</v>
      </c>
      <c r="M47" s="30">
        <v>4</v>
      </c>
      <c r="N47" s="30">
        <v>1</v>
      </c>
      <c r="O47" s="30">
        <f>J46*M47*N47</f>
        <v>40</v>
      </c>
      <c r="P47" s="28" t="str">
        <f t="shared" si="12"/>
        <v>Low</v>
      </c>
      <c r="Q47" s="35" t="s">
        <v>688</v>
      </c>
      <c r="R47" s="30" t="str">
        <f t="shared" si="13"/>
        <v>Yes</v>
      </c>
      <c r="S47" s="30" t="str">
        <f t="shared" si="14"/>
        <v>Accept</v>
      </c>
      <c r="T47" s="30" t="s">
        <v>17</v>
      </c>
      <c r="U47" s="30" t="s">
        <v>241</v>
      </c>
      <c r="V47" s="27" t="s">
        <v>643</v>
      </c>
      <c r="W47" s="27" t="s">
        <v>241</v>
      </c>
      <c r="X47" s="27" t="s">
        <v>241</v>
      </c>
      <c r="Y47" s="27" t="s">
        <v>241</v>
      </c>
      <c r="Z47" s="27" t="s">
        <v>241</v>
      </c>
      <c r="AA47" s="27" t="s">
        <v>241</v>
      </c>
    </row>
    <row r="48" spans="1:27" ht="24" x14ac:dyDescent="0.15">
      <c r="A48" s="162">
        <v>7</v>
      </c>
      <c r="B48" s="30" t="s">
        <v>134</v>
      </c>
      <c r="C48" s="162" t="s">
        <v>327</v>
      </c>
      <c r="D48" s="147" t="s">
        <v>305</v>
      </c>
      <c r="E48" s="34" t="s">
        <v>239</v>
      </c>
      <c r="F48" s="34" t="s">
        <v>240</v>
      </c>
      <c r="G48" s="30">
        <v>4</v>
      </c>
      <c r="H48" s="30">
        <v>3</v>
      </c>
      <c r="I48" s="30">
        <v>3</v>
      </c>
      <c r="J48" s="30">
        <f>G48+H48+I48</f>
        <v>10</v>
      </c>
      <c r="K48" s="30" t="s">
        <v>135</v>
      </c>
      <c r="L48" s="117" t="s">
        <v>136</v>
      </c>
      <c r="M48" s="30">
        <v>3</v>
      </c>
      <c r="N48" s="30">
        <v>2</v>
      </c>
      <c r="O48" s="30">
        <f>J48*M48*N48</f>
        <v>60</v>
      </c>
      <c r="P48" s="28" t="str">
        <f t="shared" si="12"/>
        <v>Low</v>
      </c>
      <c r="Q48" s="35" t="s">
        <v>689</v>
      </c>
      <c r="R48" s="30" t="str">
        <f>IF(O48&gt;94,"No","Yes")</f>
        <v>Yes</v>
      </c>
      <c r="S48" s="30" t="str">
        <f>IF(R48="Yes","Accept","Mitigate")</f>
        <v>Accept</v>
      </c>
      <c r="T48" s="30" t="s">
        <v>17</v>
      </c>
      <c r="U48" s="30" t="s">
        <v>241</v>
      </c>
      <c r="V48" s="27" t="s">
        <v>643</v>
      </c>
      <c r="W48" s="27" t="s">
        <v>241</v>
      </c>
      <c r="X48" s="27" t="s">
        <v>241</v>
      </c>
      <c r="Y48" s="27" t="s">
        <v>241</v>
      </c>
      <c r="Z48" s="27" t="s">
        <v>241</v>
      </c>
      <c r="AA48" s="27" t="s">
        <v>241</v>
      </c>
    </row>
    <row r="49" spans="1:27" ht="29.25" customHeight="1" x14ac:dyDescent="0.15">
      <c r="A49" s="162"/>
      <c r="B49" s="30" t="s">
        <v>134</v>
      </c>
      <c r="C49" s="162"/>
      <c r="D49" s="148"/>
      <c r="E49" s="34" t="s">
        <v>239</v>
      </c>
      <c r="F49" s="34" t="s">
        <v>240</v>
      </c>
      <c r="G49" s="30">
        <v>4</v>
      </c>
      <c r="H49" s="30">
        <v>3</v>
      </c>
      <c r="I49" s="30">
        <v>3</v>
      </c>
      <c r="J49" s="30">
        <f>G49+H49+I49</f>
        <v>10</v>
      </c>
      <c r="K49" s="30" t="s">
        <v>96</v>
      </c>
      <c r="L49" s="117" t="s">
        <v>136</v>
      </c>
      <c r="M49" s="30">
        <v>3</v>
      </c>
      <c r="N49" s="30">
        <v>2</v>
      </c>
      <c r="O49" s="30">
        <f>J48*M49*N49</f>
        <v>60</v>
      </c>
      <c r="P49" s="28" t="str">
        <f t="shared" si="12"/>
        <v>Low</v>
      </c>
      <c r="Q49" s="35" t="s">
        <v>689</v>
      </c>
      <c r="R49" s="30" t="str">
        <f>IF(O49&gt;94,"No","Yes")</f>
        <v>Yes</v>
      </c>
      <c r="S49" s="30" t="str">
        <f>IF(R49="Yes","Accept","Mitigate")</f>
        <v>Accept</v>
      </c>
      <c r="T49" s="30" t="s">
        <v>17</v>
      </c>
      <c r="U49" s="30" t="s">
        <v>241</v>
      </c>
      <c r="V49" s="27" t="s">
        <v>643</v>
      </c>
      <c r="W49" s="27" t="s">
        <v>241</v>
      </c>
      <c r="X49" s="27" t="s">
        <v>241</v>
      </c>
      <c r="Y49" s="27" t="s">
        <v>241</v>
      </c>
      <c r="Z49" s="27" t="s">
        <v>241</v>
      </c>
      <c r="AA49" s="27" t="s">
        <v>241</v>
      </c>
    </row>
    <row r="50" spans="1:27" ht="60" x14ac:dyDescent="0.15">
      <c r="A50" s="162">
        <v>8</v>
      </c>
      <c r="B50" s="30" t="s">
        <v>704</v>
      </c>
      <c r="C50" s="162" t="s">
        <v>329</v>
      </c>
      <c r="D50" s="147" t="s">
        <v>307</v>
      </c>
      <c r="E50" s="34" t="s">
        <v>239</v>
      </c>
      <c r="F50" s="34" t="s">
        <v>240</v>
      </c>
      <c r="G50" s="30">
        <v>2</v>
      </c>
      <c r="H50" s="30">
        <v>4</v>
      </c>
      <c r="I50" s="30">
        <v>4</v>
      </c>
      <c r="J50" s="30">
        <f t="shared" si="11"/>
        <v>10</v>
      </c>
      <c r="K50" s="30" t="s">
        <v>120</v>
      </c>
      <c r="L50" s="38" t="s">
        <v>60</v>
      </c>
      <c r="M50" s="30">
        <v>4</v>
      </c>
      <c r="N50" s="30">
        <v>1</v>
      </c>
      <c r="O50" s="30">
        <f>J50*M50*N50</f>
        <v>40</v>
      </c>
      <c r="P50" s="28" t="str">
        <f t="shared" si="12"/>
        <v>Low</v>
      </c>
      <c r="Q50" s="35" t="s">
        <v>662</v>
      </c>
      <c r="R50" s="30" t="str">
        <f t="shared" si="13"/>
        <v>Yes</v>
      </c>
      <c r="S50" s="30" t="str">
        <f t="shared" si="14"/>
        <v>Accept</v>
      </c>
      <c r="T50" s="30" t="s">
        <v>17</v>
      </c>
      <c r="U50" s="30" t="s">
        <v>241</v>
      </c>
      <c r="V50" s="27" t="s">
        <v>691</v>
      </c>
      <c r="W50" s="27" t="s">
        <v>241</v>
      </c>
      <c r="X50" s="27" t="s">
        <v>241</v>
      </c>
      <c r="Y50" s="27" t="s">
        <v>241</v>
      </c>
      <c r="Z50" s="27" t="s">
        <v>241</v>
      </c>
      <c r="AA50" s="27" t="s">
        <v>241</v>
      </c>
    </row>
    <row r="51" spans="1:27" ht="45" customHeight="1" x14ac:dyDescent="0.15">
      <c r="A51" s="162"/>
      <c r="B51" s="30" t="s">
        <v>704</v>
      </c>
      <c r="C51" s="162"/>
      <c r="D51" s="164"/>
      <c r="E51" s="34" t="s">
        <v>239</v>
      </c>
      <c r="F51" s="34" t="s">
        <v>240</v>
      </c>
      <c r="G51" s="30">
        <v>2</v>
      </c>
      <c r="H51" s="30">
        <v>4</v>
      </c>
      <c r="I51" s="30">
        <v>4</v>
      </c>
      <c r="J51" s="30">
        <f t="shared" si="11"/>
        <v>10</v>
      </c>
      <c r="K51" s="30" t="s">
        <v>120</v>
      </c>
      <c r="L51" s="38" t="s">
        <v>116</v>
      </c>
      <c r="M51" s="30">
        <v>4</v>
      </c>
      <c r="N51" s="30">
        <v>1</v>
      </c>
      <c r="O51" s="30">
        <f>J50*M51*N51</f>
        <v>40</v>
      </c>
      <c r="P51" s="28" t="str">
        <f t="shared" si="12"/>
        <v>Low</v>
      </c>
      <c r="Q51" s="35" t="s">
        <v>138</v>
      </c>
      <c r="R51" s="30" t="str">
        <f t="shared" si="13"/>
        <v>Yes</v>
      </c>
      <c r="S51" s="30" t="str">
        <f t="shared" si="14"/>
        <v>Accept</v>
      </c>
      <c r="T51" s="30" t="s">
        <v>17</v>
      </c>
      <c r="U51" s="30" t="s">
        <v>241</v>
      </c>
      <c r="V51" s="27" t="s">
        <v>691</v>
      </c>
      <c r="W51" s="27" t="s">
        <v>241</v>
      </c>
      <c r="X51" s="27" t="s">
        <v>241</v>
      </c>
      <c r="Y51" s="27" t="s">
        <v>241</v>
      </c>
      <c r="Z51" s="27" t="s">
        <v>241</v>
      </c>
      <c r="AA51" s="27" t="s">
        <v>241</v>
      </c>
    </row>
    <row r="52" spans="1:27" ht="72" x14ac:dyDescent="0.15">
      <c r="A52" s="162"/>
      <c r="B52" s="30" t="s">
        <v>704</v>
      </c>
      <c r="C52" s="162"/>
      <c r="D52" s="148"/>
      <c r="E52" s="34" t="s">
        <v>239</v>
      </c>
      <c r="F52" s="34" t="s">
        <v>240</v>
      </c>
      <c r="G52" s="30">
        <v>2</v>
      </c>
      <c r="H52" s="30">
        <v>4</v>
      </c>
      <c r="I52" s="30">
        <v>4</v>
      </c>
      <c r="J52" s="30">
        <f t="shared" si="11"/>
        <v>10</v>
      </c>
      <c r="K52" s="30" t="s">
        <v>96</v>
      </c>
      <c r="L52" s="32" t="s">
        <v>665</v>
      </c>
      <c r="M52" s="30">
        <v>4</v>
      </c>
      <c r="N52" s="30">
        <v>1</v>
      </c>
      <c r="O52" s="30">
        <f>J50*M52*N52</f>
        <v>40</v>
      </c>
      <c r="P52" s="28" t="str">
        <f t="shared" si="12"/>
        <v>Low</v>
      </c>
      <c r="Q52" s="35" t="s">
        <v>688</v>
      </c>
      <c r="R52" s="30" t="str">
        <f t="shared" si="13"/>
        <v>Yes</v>
      </c>
      <c r="S52" s="30" t="str">
        <f t="shared" si="14"/>
        <v>Accept</v>
      </c>
      <c r="T52" s="30" t="s">
        <v>17</v>
      </c>
      <c r="U52" s="30" t="s">
        <v>241</v>
      </c>
      <c r="V52" s="27" t="s">
        <v>691</v>
      </c>
      <c r="W52" s="27" t="s">
        <v>241</v>
      </c>
      <c r="X52" s="27" t="s">
        <v>241</v>
      </c>
      <c r="Y52" s="27" t="s">
        <v>241</v>
      </c>
      <c r="Z52" s="27" t="s">
        <v>241</v>
      </c>
      <c r="AA52" s="27" t="s">
        <v>241</v>
      </c>
    </row>
    <row r="53" spans="1:27" ht="24" x14ac:dyDescent="0.15">
      <c r="A53" s="162">
        <v>9</v>
      </c>
      <c r="B53" s="30" t="s">
        <v>705</v>
      </c>
      <c r="C53" s="162" t="s">
        <v>556</v>
      </c>
      <c r="D53" s="147" t="s">
        <v>690</v>
      </c>
      <c r="E53" s="34" t="s">
        <v>239</v>
      </c>
      <c r="F53" s="34" t="s">
        <v>240</v>
      </c>
      <c r="G53" s="30">
        <v>4</v>
      </c>
      <c r="H53" s="30">
        <v>3</v>
      </c>
      <c r="I53" s="30">
        <v>3</v>
      </c>
      <c r="J53" s="30">
        <f>G53+H53+I53</f>
        <v>10</v>
      </c>
      <c r="K53" s="30" t="s">
        <v>135</v>
      </c>
      <c r="L53" s="116" t="s">
        <v>136</v>
      </c>
      <c r="M53" s="30">
        <v>3</v>
      </c>
      <c r="N53" s="30">
        <v>2</v>
      </c>
      <c r="O53" s="30">
        <f>J53*M53*N53</f>
        <v>60</v>
      </c>
      <c r="P53" s="28" t="str">
        <f t="shared" si="12"/>
        <v>Low</v>
      </c>
      <c r="Q53" s="35" t="s">
        <v>689</v>
      </c>
      <c r="R53" s="30" t="str">
        <f>IF(O53&gt;94,"No","Yes")</f>
        <v>Yes</v>
      </c>
      <c r="S53" s="30" t="str">
        <f>IF(R53="Yes","Accept","Mitigate")</f>
        <v>Accept</v>
      </c>
      <c r="T53" s="30" t="s">
        <v>17</v>
      </c>
      <c r="U53" s="30" t="s">
        <v>241</v>
      </c>
      <c r="V53" s="27" t="s">
        <v>643</v>
      </c>
      <c r="W53" s="27" t="s">
        <v>241</v>
      </c>
      <c r="X53" s="27" t="s">
        <v>241</v>
      </c>
      <c r="Y53" s="27" t="s">
        <v>241</v>
      </c>
      <c r="Z53" s="27" t="s">
        <v>241</v>
      </c>
      <c r="AA53" s="27" t="s">
        <v>241</v>
      </c>
    </row>
    <row r="54" spans="1:27" ht="29.25" customHeight="1" x14ac:dyDescent="0.15">
      <c r="A54" s="162"/>
      <c r="B54" s="30" t="s">
        <v>705</v>
      </c>
      <c r="C54" s="162"/>
      <c r="D54" s="148"/>
      <c r="E54" s="34" t="s">
        <v>239</v>
      </c>
      <c r="F54" s="34" t="s">
        <v>240</v>
      </c>
      <c r="G54" s="30">
        <v>4</v>
      </c>
      <c r="H54" s="30">
        <v>3</v>
      </c>
      <c r="I54" s="30">
        <v>3</v>
      </c>
      <c r="J54" s="30">
        <f>G54+H54+I54</f>
        <v>10</v>
      </c>
      <c r="K54" s="30" t="s">
        <v>96</v>
      </c>
      <c r="L54" s="116" t="s">
        <v>136</v>
      </c>
      <c r="M54" s="30">
        <v>3</v>
      </c>
      <c r="N54" s="30">
        <v>2</v>
      </c>
      <c r="O54" s="30">
        <f>J53*M54*N54</f>
        <v>60</v>
      </c>
      <c r="P54" s="28" t="str">
        <f t="shared" si="12"/>
        <v>Low</v>
      </c>
      <c r="Q54" s="35" t="s">
        <v>689</v>
      </c>
      <c r="R54" s="30" t="str">
        <f>IF(O54&gt;94,"No","Yes")</f>
        <v>Yes</v>
      </c>
      <c r="S54" s="30" t="str">
        <f>IF(R54="Yes","Accept","Mitigate")</f>
        <v>Accept</v>
      </c>
      <c r="T54" s="30" t="s">
        <v>17</v>
      </c>
      <c r="U54" s="30" t="s">
        <v>241</v>
      </c>
      <c r="V54" s="27" t="s">
        <v>643</v>
      </c>
      <c r="W54" s="27" t="s">
        <v>241</v>
      </c>
      <c r="X54" s="27" t="s">
        <v>241</v>
      </c>
      <c r="Y54" s="27" t="s">
        <v>241</v>
      </c>
      <c r="Z54" s="27" t="s">
        <v>241</v>
      </c>
      <c r="AA54" s="27" t="s">
        <v>241</v>
      </c>
    </row>
    <row r="55" spans="1:27" ht="48" x14ac:dyDescent="0.15">
      <c r="A55" s="162">
        <v>10</v>
      </c>
      <c r="B55" s="30" t="s">
        <v>706</v>
      </c>
      <c r="C55" s="162" t="s">
        <v>693</v>
      </c>
      <c r="D55" s="147" t="s">
        <v>241</v>
      </c>
      <c r="E55" s="34" t="s">
        <v>239</v>
      </c>
      <c r="F55" s="34" t="s">
        <v>240</v>
      </c>
      <c r="G55" s="30">
        <v>4</v>
      </c>
      <c r="H55" s="30">
        <v>4</v>
      </c>
      <c r="I55" s="30">
        <v>4</v>
      </c>
      <c r="J55" s="30">
        <f t="shared" si="11"/>
        <v>12</v>
      </c>
      <c r="K55" s="30" t="s">
        <v>140</v>
      </c>
      <c r="L55" s="38" t="s">
        <v>67</v>
      </c>
      <c r="M55" s="30">
        <v>4</v>
      </c>
      <c r="N55" s="30">
        <v>1</v>
      </c>
      <c r="O55" s="30">
        <f>J55*M55*N55</f>
        <v>48</v>
      </c>
      <c r="P55" s="28" t="str">
        <f t="shared" si="12"/>
        <v>Low</v>
      </c>
      <c r="Q55" s="35" t="s">
        <v>695</v>
      </c>
      <c r="R55" s="30" t="str">
        <f t="shared" si="13"/>
        <v>Yes</v>
      </c>
      <c r="S55" s="30" t="str">
        <f t="shared" si="14"/>
        <v>Accept</v>
      </c>
      <c r="T55" s="30" t="s">
        <v>17</v>
      </c>
      <c r="U55" s="30" t="s">
        <v>241</v>
      </c>
      <c r="V55" s="27" t="s">
        <v>691</v>
      </c>
      <c r="W55" s="27" t="s">
        <v>241</v>
      </c>
      <c r="X55" s="27" t="s">
        <v>241</v>
      </c>
      <c r="Y55" s="27" t="s">
        <v>241</v>
      </c>
      <c r="Z55" s="27" t="s">
        <v>241</v>
      </c>
      <c r="AA55" s="27" t="s">
        <v>241</v>
      </c>
    </row>
    <row r="56" spans="1:27" ht="48" x14ac:dyDescent="0.15">
      <c r="A56" s="162"/>
      <c r="B56" s="30" t="s">
        <v>706</v>
      </c>
      <c r="C56" s="162"/>
      <c r="D56" s="164"/>
      <c r="E56" s="34" t="s">
        <v>239</v>
      </c>
      <c r="F56" s="34" t="s">
        <v>240</v>
      </c>
      <c r="G56" s="30">
        <v>4</v>
      </c>
      <c r="H56" s="30">
        <v>4</v>
      </c>
      <c r="I56" s="30">
        <v>4</v>
      </c>
      <c r="J56" s="30">
        <f t="shared" si="11"/>
        <v>12</v>
      </c>
      <c r="K56" s="30" t="s">
        <v>140</v>
      </c>
      <c r="L56" s="38" t="s">
        <v>59</v>
      </c>
      <c r="M56" s="30">
        <v>4</v>
      </c>
      <c r="N56" s="30">
        <v>1</v>
      </c>
      <c r="O56" s="30">
        <f>J55*M56*N56</f>
        <v>48</v>
      </c>
      <c r="P56" s="28" t="str">
        <f t="shared" si="12"/>
        <v>Low</v>
      </c>
      <c r="Q56" s="35" t="s">
        <v>696</v>
      </c>
      <c r="R56" s="30" t="str">
        <f t="shared" si="13"/>
        <v>Yes</v>
      </c>
      <c r="S56" s="30" t="str">
        <f t="shared" si="14"/>
        <v>Accept</v>
      </c>
      <c r="T56" s="30" t="s">
        <v>17</v>
      </c>
      <c r="U56" s="30" t="s">
        <v>241</v>
      </c>
      <c r="V56" s="27" t="s">
        <v>691</v>
      </c>
      <c r="W56" s="27" t="s">
        <v>241</v>
      </c>
      <c r="X56" s="27" t="s">
        <v>241</v>
      </c>
      <c r="Y56" s="27" t="s">
        <v>241</v>
      </c>
      <c r="Z56" s="27" t="s">
        <v>241</v>
      </c>
      <c r="AA56" s="27" t="s">
        <v>241</v>
      </c>
    </row>
    <row r="57" spans="1:27" ht="60" x14ac:dyDescent="0.15">
      <c r="A57" s="162"/>
      <c r="B57" s="30" t="s">
        <v>706</v>
      </c>
      <c r="C57" s="162"/>
      <c r="D57" s="164"/>
      <c r="E57" s="34" t="s">
        <v>239</v>
      </c>
      <c r="F57" s="34" t="s">
        <v>240</v>
      </c>
      <c r="G57" s="30">
        <v>4</v>
      </c>
      <c r="H57" s="30">
        <v>4</v>
      </c>
      <c r="I57" s="30">
        <v>4</v>
      </c>
      <c r="J57" s="30">
        <f t="shared" si="11"/>
        <v>12</v>
      </c>
      <c r="K57" s="30" t="s">
        <v>140</v>
      </c>
      <c r="L57" s="38" t="s">
        <v>68</v>
      </c>
      <c r="M57" s="30">
        <v>4</v>
      </c>
      <c r="N57" s="30">
        <v>1</v>
      </c>
      <c r="O57" s="30">
        <f>J55*M57*N57</f>
        <v>48</v>
      </c>
      <c r="P57" s="28" t="str">
        <f t="shared" si="12"/>
        <v>Low</v>
      </c>
      <c r="Q57" s="35" t="s">
        <v>697</v>
      </c>
      <c r="R57" s="30" t="str">
        <f t="shared" si="13"/>
        <v>Yes</v>
      </c>
      <c r="S57" s="30" t="str">
        <f t="shared" si="14"/>
        <v>Accept</v>
      </c>
      <c r="T57" s="30" t="s">
        <v>17</v>
      </c>
      <c r="U57" s="30" t="s">
        <v>241</v>
      </c>
      <c r="V57" s="27" t="s">
        <v>691</v>
      </c>
      <c r="W57" s="27" t="s">
        <v>241</v>
      </c>
      <c r="X57" s="27" t="s">
        <v>241</v>
      </c>
      <c r="Y57" s="27" t="s">
        <v>241</v>
      </c>
      <c r="Z57" s="27" t="s">
        <v>241</v>
      </c>
      <c r="AA57" s="27" t="s">
        <v>241</v>
      </c>
    </row>
    <row r="58" spans="1:27" ht="48" x14ac:dyDescent="0.15">
      <c r="A58" s="162"/>
      <c r="B58" s="30" t="s">
        <v>706</v>
      </c>
      <c r="C58" s="162"/>
      <c r="D58" s="164"/>
      <c r="E58" s="34" t="s">
        <v>239</v>
      </c>
      <c r="F58" s="34" t="s">
        <v>240</v>
      </c>
      <c r="G58" s="30">
        <v>4</v>
      </c>
      <c r="H58" s="30">
        <v>4</v>
      </c>
      <c r="I58" s="30">
        <v>4</v>
      </c>
      <c r="J58" s="30">
        <f t="shared" si="11"/>
        <v>12</v>
      </c>
      <c r="K58" s="30" t="s">
        <v>140</v>
      </c>
      <c r="L58" s="38" t="s">
        <v>69</v>
      </c>
      <c r="M58" s="30">
        <v>4</v>
      </c>
      <c r="N58" s="30">
        <v>1</v>
      </c>
      <c r="O58" s="30">
        <f>J55*M58*N58</f>
        <v>48</v>
      </c>
      <c r="P58" s="28" t="str">
        <f t="shared" si="12"/>
        <v>Low</v>
      </c>
      <c r="Q58" s="35" t="s">
        <v>142</v>
      </c>
      <c r="R58" s="30" t="str">
        <f t="shared" si="13"/>
        <v>Yes</v>
      </c>
      <c r="S58" s="30" t="str">
        <f t="shared" si="14"/>
        <v>Accept</v>
      </c>
      <c r="T58" s="30" t="s">
        <v>17</v>
      </c>
      <c r="U58" s="30" t="s">
        <v>241</v>
      </c>
      <c r="V58" s="27" t="s">
        <v>691</v>
      </c>
      <c r="W58" s="27" t="s">
        <v>241</v>
      </c>
      <c r="X58" s="27" t="s">
        <v>241</v>
      </c>
      <c r="Y58" s="27" t="s">
        <v>241</v>
      </c>
      <c r="Z58" s="27" t="s">
        <v>241</v>
      </c>
      <c r="AA58" s="27" t="s">
        <v>241</v>
      </c>
    </row>
    <row r="59" spans="1:27" ht="31.5" customHeight="1" x14ac:dyDescent="0.15">
      <c r="A59" s="162"/>
      <c r="B59" s="30" t="s">
        <v>706</v>
      </c>
      <c r="C59" s="162"/>
      <c r="D59" s="148"/>
      <c r="E59" s="27"/>
      <c r="F59" s="27"/>
      <c r="G59" s="30">
        <v>4</v>
      </c>
      <c r="H59" s="30">
        <v>4</v>
      </c>
      <c r="I59" s="30">
        <v>4</v>
      </c>
      <c r="J59" s="30">
        <f t="shared" si="11"/>
        <v>12</v>
      </c>
      <c r="K59" s="30" t="s">
        <v>694</v>
      </c>
      <c r="L59" s="38" t="s">
        <v>70</v>
      </c>
      <c r="M59" s="30">
        <v>4</v>
      </c>
      <c r="N59" s="30">
        <v>4</v>
      </c>
      <c r="O59" s="30">
        <f>J55*M59*N59</f>
        <v>192</v>
      </c>
      <c r="P59" s="28" t="str">
        <f t="shared" si="12"/>
        <v>High</v>
      </c>
      <c r="Q59" s="35"/>
      <c r="R59" s="30" t="str">
        <f t="shared" si="13"/>
        <v>No</v>
      </c>
      <c r="S59" s="30" t="str">
        <f t="shared" si="14"/>
        <v>Mitigate</v>
      </c>
      <c r="T59" s="30" t="s">
        <v>253</v>
      </c>
      <c r="U59" s="30" t="s">
        <v>252</v>
      </c>
      <c r="V59" s="27" t="s">
        <v>691</v>
      </c>
      <c r="W59" s="30">
        <v>4</v>
      </c>
      <c r="X59" s="30">
        <v>1</v>
      </c>
      <c r="Y59" s="30">
        <f>J55*W59*X59</f>
        <v>48</v>
      </c>
      <c r="Z59" s="30" t="str">
        <f>IF(Y59&lt;94,"No","Yes")</f>
        <v>No</v>
      </c>
      <c r="AA59" s="45" t="s">
        <v>17</v>
      </c>
    </row>
    <row r="60" spans="1:27" ht="48" x14ac:dyDescent="0.15">
      <c r="A60" s="147">
        <v>11</v>
      </c>
      <c r="B60" s="30" t="s">
        <v>748</v>
      </c>
      <c r="C60" s="66" t="s">
        <v>560</v>
      </c>
      <c r="D60" s="147">
        <v>29</v>
      </c>
      <c r="E60" s="30" t="s">
        <v>239</v>
      </c>
      <c r="F60" s="30" t="s">
        <v>240</v>
      </c>
      <c r="G60" s="30">
        <v>3</v>
      </c>
      <c r="H60" s="30">
        <v>3</v>
      </c>
      <c r="I60" s="30">
        <v>4</v>
      </c>
      <c r="J60" s="30">
        <f t="shared" si="11"/>
        <v>10</v>
      </c>
      <c r="K60" s="30" t="s">
        <v>755</v>
      </c>
      <c r="L60" s="32" t="s">
        <v>749</v>
      </c>
      <c r="M60" s="30">
        <v>4</v>
      </c>
      <c r="N60" s="30">
        <v>2</v>
      </c>
      <c r="O60" s="30">
        <f t="shared" ref="O60:O66" si="15">J60*M60*N60</f>
        <v>80</v>
      </c>
      <c r="P60" s="31" t="str">
        <f t="shared" si="12"/>
        <v>Low</v>
      </c>
      <c r="Q60" s="63" t="s">
        <v>750</v>
      </c>
      <c r="R60" s="30" t="s">
        <v>752</v>
      </c>
      <c r="S60" s="30" t="s">
        <v>753</v>
      </c>
      <c r="T60" s="30" t="s">
        <v>17</v>
      </c>
      <c r="U60" s="30" t="s">
        <v>241</v>
      </c>
      <c r="V60" s="30" t="s">
        <v>633</v>
      </c>
      <c r="W60" s="27" t="s">
        <v>241</v>
      </c>
      <c r="X60" s="27" t="s">
        <v>241</v>
      </c>
      <c r="Y60" s="27" t="s">
        <v>241</v>
      </c>
      <c r="Z60" s="27" t="s">
        <v>241</v>
      </c>
      <c r="AA60" s="27" t="s">
        <v>241</v>
      </c>
    </row>
    <row r="61" spans="1:27" ht="48" x14ac:dyDescent="0.15">
      <c r="A61" s="148"/>
      <c r="B61" s="30" t="s">
        <v>748</v>
      </c>
      <c r="C61" s="66" t="s">
        <v>560</v>
      </c>
      <c r="D61" s="148"/>
      <c r="E61" s="30" t="s">
        <v>239</v>
      </c>
      <c r="F61" s="30" t="s">
        <v>240</v>
      </c>
      <c r="G61" s="30">
        <v>3</v>
      </c>
      <c r="H61" s="30">
        <v>3</v>
      </c>
      <c r="I61" s="30">
        <v>4</v>
      </c>
      <c r="J61" s="30">
        <f t="shared" si="11"/>
        <v>10</v>
      </c>
      <c r="K61" s="30" t="s">
        <v>754</v>
      </c>
      <c r="L61" s="32" t="s">
        <v>97</v>
      </c>
      <c r="M61" s="30">
        <v>4</v>
      </c>
      <c r="N61" s="30">
        <v>2</v>
      </c>
      <c r="O61" s="30">
        <f t="shared" si="15"/>
        <v>80</v>
      </c>
      <c r="P61" s="31" t="str">
        <f t="shared" si="12"/>
        <v>Low</v>
      </c>
      <c r="Q61" s="32" t="s">
        <v>751</v>
      </c>
      <c r="R61" s="30" t="s">
        <v>752</v>
      </c>
      <c r="S61" s="30" t="s">
        <v>753</v>
      </c>
      <c r="T61" s="30" t="s">
        <v>17</v>
      </c>
      <c r="U61" s="30" t="s">
        <v>241</v>
      </c>
      <c r="V61" s="30" t="s">
        <v>633</v>
      </c>
      <c r="W61" s="27" t="s">
        <v>241</v>
      </c>
      <c r="X61" s="27" t="s">
        <v>241</v>
      </c>
      <c r="Y61" s="27" t="s">
        <v>241</v>
      </c>
      <c r="Z61" s="27" t="s">
        <v>241</v>
      </c>
      <c r="AA61" s="27" t="s">
        <v>241</v>
      </c>
    </row>
    <row r="62" spans="1:27" ht="120" x14ac:dyDescent="0.15">
      <c r="A62" s="147">
        <v>12</v>
      </c>
      <c r="B62" s="30" t="s">
        <v>756</v>
      </c>
      <c r="C62" s="66" t="s">
        <v>443</v>
      </c>
      <c r="D62" s="147">
        <v>295</v>
      </c>
      <c r="E62" s="30" t="s">
        <v>239</v>
      </c>
      <c r="F62" s="30" t="s">
        <v>240</v>
      </c>
      <c r="G62" s="30">
        <v>2</v>
      </c>
      <c r="H62" s="30">
        <v>4</v>
      </c>
      <c r="I62" s="30">
        <v>4</v>
      </c>
      <c r="J62" s="30">
        <f t="shared" ref="J62:J68" si="16">(I62+H62+G62)</f>
        <v>10</v>
      </c>
      <c r="K62" s="30" t="s">
        <v>759</v>
      </c>
      <c r="L62" s="32" t="s">
        <v>763</v>
      </c>
      <c r="M62" s="30">
        <v>4</v>
      </c>
      <c r="N62" s="30">
        <v>2</v>
      </c>
      <c r="O62" s="30">
        <f t="shared" si="15"/>
        <v>80</v>
      </c>
      <c r="P62" s="31" t="str">
        <f t="shared" ref="P62:P63" si="17">IF(O62&lt;=94,"Low",IF(AND(O62&gt;94,O62&lt;=188),"Medium",IF(AND(O62&gt;188,O62&lt;=282),"High",IF(AND(O62&gt;282,O62&lt;=375),"Critical","Error"))))</f>
        <v>Low</v>
      </c>
      <c r="Q62" s="63" t="s">
        <v>765</v>
      </c>
      <c r="R62" s="30" t="s">
        <v>752</v>
      </c>
      <c r="S62" s="30" t="s">
        <v>753</v>
      </c>
      <c r="T62" s="30" t="s">
        <v>17</v>
      </c>
      <c r="U62" s="30" t="s">
        <v>241</v>
      </c>
      <c r="V62" s="30" t="s">
        <v>633</v>
      </c>
      <c r="W62" s="27" t="s">
        <v>241</v>
      </c>
      <c r="X62" s="27" t="s">
        <v>241</v>
      </c>
      <c r="Y62" s="27" t="s">
        <v>241</v>
      </c>
      <c r="Z62" s="27" t="s">
        <v>241</v>
      </c>
      <c r="AA62" s="27" t="s">
        <v>241</v>
      </c>
    </row>
    <row r="63" spans="1:27" ht="120" x14ac:dyDescent="0.15">
      <c r="A63" s="164"/>
      <c r="B63" s="30" t="s">
        <v>756</v>
      </c>
      <c r="C63" s="66" t="s">
        <v>443</v>
      </c>
      <c r="D63" s="164"/>
      <c r="E63" s="30" t="s">
        <v>239</v>
      </c>
      <c r="F63" s="30" t="s">
        <v>240</v>
      </c>
      <c r="G63" s="30">
        <v>2</v>
      </c>
      <c r="H63" s="30">
        <v>3</v>
      </c>
      <c r="I63" s="30">
        <v>4</v>
      </c>
      <c r="J63" s="30">
        <f t="shared" ref="J63:J66" si="18">(I63+H63+G63)</f>
        <v>9</v>
      </c>
      <c r="K63" s="30" t="s">
        <v>760</v>
      </c>
      <c r="L63" s="32" t="s">
        <v>764</v>
      </c>
      <c r="M63" s="30">
        <v>4</v>
      </c>
      <c r="N63" s="30">
        <v>2</v>
      </c>
      <c r="O63" s="30">
        <f t="shared" si="15"/>
        <v>72</v>
      </c>
      <c r="P63" s="31" t="str">
        <f t="shared" si="17"/>
        <v>Low</v>
      </c>
      <c r="Q63" s="63" t="s">
        <v>765</v>
      </c>
      <c r="R63" s="30" t="s">
        <v>752</v>
      </c>
      <c r="S63" s="30" t="s">
        <v>753</v>
      </c>
      <c r="T63" s="30" t="s">
        <v>17</v>
      </c>
      <c r="U63" s="30" t="s">
        <v>241</v>
      </c>
      <c r="V63" s="30" t="s">
        <v>633</v>
      </c>
      <c r="W63" s="27" t="s">
        <v>241</v>
      </c>
      <c r="X63" s="27" t="s">
        <v>241</v>
      </c>
      <c r="Y63" s="27" t="s">
        <v>241</v>
      </c>
      <c r="Z63" s="27" t="s">
        <v>241</v>
      </c>
      <c r="AA63" s="27" t="s">
        <v>241</v>
      </c>
    </row>
    <row r="64" spans="1:27" ht="120" x14ac:dyDescent="0.15">
      <c r="A64" s="164"/>
      <c r="B64" s="30" t="s">
        <v>756</v>
      </c>
      <c r="C64" s="66" t="s">
        <v>443</v>
      </c>
      <c r="D64" s="164"/>
      <c r="E64" s="30" t="s">
        <v>239</v>
      </c>
      <c r="F64" s="30" t="s">
        <v>240</v>
      </c>
      <c r="G64" s="30">
        <v>3</v>
      </c>
      <c r="H64" s="30">
        <v>3</v>
      </c>
      <c r="I64" s="30">
        <v>5</v>
      </c>
      <c r="J64" s="30">
        <f t="shared" si="18"/>
        <v>11</v>
      </c>
      <c r="K64" s="30" t="s">
        <v>761</v>
      </c>
      <c r="L64" s="32" t="s">
        <v>764</v>
      </c>
      <c r="M64" s="30">
        <v>4</v>
      </c>
      <c r="N64" s="30">
        <v>2</v>
      </c>
      <c r="O64" s="30">
        <f t="shared" si="15"/>
        <v>88</v>
      </c>
      <c r="P64" s="31" t="str">
        <f t="shared" ref="P64" si="19">IF(O64&lt;=94,"Low",IF(AND(O64&gt;94,O64&lt;=188),"Medium",IF(AND(O64&gt;188,O64&lt;=282),"High",IF(AND(O64&gt;282,O64&lt;=375),"Critical","Error"))))</f>
        <v>Low</v>
      </c>
      <c r="Q64" s="63" t="s">
        <v>765</v>
      </c>
      <c r="R64" s="30" t="s">
        <v>752</v>
      </c>
      <c r="S64" s="30" t="s">
        <v>753</v>
      </c>
      <c r="T64" s="30" t="s">
        <v>17</v>
      </c>
      <c r="U64" s="30" t="s">
        <v>241</v>
      </c>
      <c r="V64" s="30" t="s">
        <v>633</v>
      </c>
      <c r="W64" s="27" t="s">
        <v>241</v>
      </c>
      <c r="X64" s="27" t="s">
        <v>241</v>
      </c>
      <c r="Y64" s="27" t="s">
        <v>241</v>
      </c>
      <c r="Z64" s="27" t="s">
        <v>241</v>
      </c>
      <c r="AA64" s="27" t="s">
        <v>241</v>
      </c>
    </row>
    <row r="65" spans="1:27" ht="120" x14ac:dyDescent="0.15">
      <c r="A65" s="164"/>
      <c r="B65" s="30" t="s">
        <v>756</v>
      </c>
      <c r="C65" s="66" t="s">
        <v>443</v>
      </c>
      <c r="D65" s="164"/>
      <c r="E65" s="30" t="s">
        <v>239</v>
      </c>
      <c r="F65" s="30" t="s">
        <v>240</v>
      </c>
      <c r="G65" s="30">
        <v>2</v>
      </c>
      <c r="H65" s="30">
        <v>4</v>
      </c>
      <c r="I65" s="30">
        <v>5</v>
      </c>
      <c r="J65" s="30">
        <f t="shared" si="18"/>
        <v>11</v>
      </c>
      <c r="K65" s="30" t="s">
        <v>757</v>
      </c>
      <c r="L65" s="32" t="s">
        <v>764</v>
      </c>
      <c r="M65" s="30">
        <v>4</v>
      </c>
      <c r="N65" s="30">
        <v>2</v>
      </c>
      <c r="O65" s="30">
        <f t="shared" si="15"/>
        <v>88</v>
      </c>
      <c r="P65" s="31" t="str">
        <f t="shared" ref="P65" si="20">IF(O65&lt;=94,"Low",IF(AND(O65&gt;94,O65&lt;=188),"Medium",IF(AND(O65&gt;188,O65&lt;=282),"High",IF(AND(O65&gt;282,O65&lt;=375),"Critical","Error"))))</f>
        <v>Low</v>
      </c>
      <c r="Q65" s="63" t="s">
        <v>765</v>
      </c>
      <c r="R65" s="30" t="s">
        <v>752</v>
      </c>
      <c r="S65" s="30" t="s">
        <v>753</v>
      </c>
      <c r="T65" s="30" t="s">
        <v>17</v>
      </c>
      <c r="U65" s="30" t="s">
        <v>241</v>
      </c>
      <c r="V65" s="30" t="s">
        <v>633</v>
      </c>
      <c r="W65" s="27" t="s">
        <v>241</v>
      </c>
      <c r="X65" s="27" t="s">
        <v>241</v>
      </c>
      <c r="Y65" s="27" t="s">
        <v>241</v>
      </c>
      <c r="Z65" s="27" t="s">
        <v>241</v>
      </c>
      <c r="AA65" s="27" t="s">
        <v>241</v>
      </c>
    </row>
    <row r="66" spans="1:27" ht="48" x14ac:dyDescent="0.15">
      <c r="A66" s="164"/>
      <c r="B66" s="30" t="s">
        <v>756</v>
      </c>
      <c r="C66" s="66" t="s">
        <v>443</v>
      </c>
      <c r="D66" s="164"/>
      <c r="E66" s="30" t="s">
        <v>239</v>
      </c>
      <c r="F66" s="30" t="s">
        <v>240</v>
      </c>
      <c r="G66" s="30">
        <v>2</v>
      </c>
      <c r="H66" s="30">
        <v>3</v>
      </c>
      <c r="I66" s="30">
        <v>3</v>
      </c>
      <c r="J66" s="30">
        <f t="shared" si="18"/>
        <v>8</v>
      </c>
      <c r="K66" s="30" t="s">
        <v>758</v>
      </c>
      <c r="L66" s="32" t="s">
        <v>764</v>
      </c>
      <c r="M66" s="30">
        <v>4</v>
      </c>
      <c r="N66" s="30">
        <v>2</v>
      </c>
      <c r="O66" s="30">
        <f t="shared" si="15"/>
        <v>64</v>
      </c>
      <c r="P66" s="31" t="str">
        <f t="shared" ref="P66" si="21">IF(O66&lt;=94,"Low",IF(AND(O66&gt;94,O66&lt;=188),"Medium",IF(AND(O66&gt;188,O66&lt;=282),"High",IF(AND(O66&gt;282,O66&lt;=375),"Critical","Error"))))</f>
        <v>Low</v>
      </c>
      <c r="Q66" s="63" t="s">
        <v>766</v>
      </c>
      <c r="R66" s="30" t="s">
        <v>752</v>
      </c>
      <c r="S66" s="30" t="s">
        <v>753</v>
      </c>
      <c r="T66" s="30" t="s">
        <v>17</v>
      </c>
      <c r="U66" s="30" t="s">
        <v>241</v>
      </c>
      <c r="V66" s="30" t="s">
        <v>633</v>
      </c>
      <c r="W66" s="27" t="s">
        <v>241</v>
      </c>
      <c r="X66" s="27" t="s">
        <v>241</v>
      </c>
      <c r="Y66" s="27" t="s">
        <v>241</v>
      </c>
      <c r="Z66" s="27" t="s">
        <v>241</v>
      </c>
      <c r="AA66" s="27" t="s">
        <v>241</v>
      </c>
    </row>
    <row r="67" spans="1:27" ht="84" x14ac:dyDescent="0.15">
      <c r="A67" s="148"/>
      <c r="B67" s="30" t="s">
        <v>756</v>
      </c>
      <c r="C67" s="66" t="s">
        <v>443</v>
      </c>
      <c r="D67" s="164"/>
      <c r="E67" s="30" t="s">
        <v>239</v>
      </c>
      <c r="F67" s="30" t="s">
        <v>240</v>
      </c>
      <c r="G67" s="30">
        <v>3</v>
      </c>
      <c r="H67" s="30">
        <v>3</v>
      </c>
      <c r="I67" s="30">
        <v>5</v>
      </c>
      <c r="J67" s="30">
        <f t="shared" si="16"/>
        <v>11</v>
      </c>
      <c r="K67" s="30" t="s">
        <v>762</v>
      </c>
      <c r="L67" s="32" t="s">
        <v>767</v>
      </c>
      <c r="M67" s="30">
        <v>4</v>
      </c>
      <c r="N67" s="30">
        <v>1</v>
      </c>
      <c r="O67" s="30">
        <f>J66*M67*N67</f>
        <v>32</v>
      </c>
      <c r="P67" s="28" t="str">
        <f>IF(O67&lt;=94,"Low",IF(AND(O67&gt;94,O67&lt;=188),"Medium",IF(AND(O67&gt;188,O67&lt;=282),"High",IF(AND(O67&gt;282,O67&lt;=375),"Critical","Error"))))</f>
        <v>Low</v>
      </c>
      <c r="Q67" s="35" t="s">
        <v>768</v>
      </c>
      <c r="R67" s="30" t="s">
        <v>752</v>
      </c>
      <c r="S67" s="30" t="s">
        <v>753</v>
      </c>
      <c r="T67" s="30" t="s">
        <v>17</v>
      </c>
      <c r="U67" s="30" t="s">
        <v>241</v>
      </c>
      <c r="V67" s="30" t="s">
        <v>633</v>
      </c>
      <c r="W67" s="27" t="s">
        <v>241</v>
      </c>
      <c r="X67" s="27" t="s">
        <v>241</v>
      </c>
      <c r="Y67" s="27" t="s">
        <v>241</v>
      </c>
      <c r="Z67" s="27" t="s">
        <v>241</v>
      </c>
      <c r="AA67" s="27" t="s">
        <v>241</v>
      </c>
    </row>
    <row r="68" spans="1:27" ht="132" x14ac:dyDescent="0.15">
      <c r="A68" s="220">
        <v>13</v>
      </c>
      <c r="B68" s="45" t="s">
        <v>558</v>
      </c>
      <c r="C68" s="67" t="s">
        <v>241</v>
      </c>
      <c r="D68" s="223" t="s">
        <v>241</v>
      </c>
      <c r="E68" s="30" t="s">
        <v>239</v>
      </c>
      <c r="F68" s="30" t="s">
        <v>240</v>
      </c>
      <c r="G68" s="45">
        <v>4</v>
      </c>
      <c r="H68" s="45">
        <v>4</v>
      </c>
      <c r="I68" s="45">
        <v>4</v>
      </c>
      <c r="J68" s="45">
        <f t="shared" si="16"/>
        <v>12</v>
      </c>
      <c r="K68" s="30" t="s">
        <v>769</v>
      </c>
      <c r="L68" s="32" t="s">
        <v>774</v>
      </c>
      <c r="M68" s="30">
        <v>4</v>
      </c>
      <c r="N68" s="30">
        <v>1</v>
      </c>
      <c r="O68" s="30">
        <f>J67*M68*N68</f>
        <v>44</v>
      </c>
      <c r="P68" s="28" t="str">
        <f>IF(O68&lt;=94,"Low",IF(AND(O68&gt;94,O68&lt;=188),"Medium",IF(AND(O68&gt;188,O68&lt;=282),"High",IF(AND(O68&gt;282,O68&lt;=375),"Critical","Error"))))</f>
        <v>Low</v>
      </c>
      <c r="Q68" s="32" t="s">
        <v>776</v>
      </c>
      <c r="R68" s="30" t="s">
        <v>752</v>
      </c>
      <c r="S68" s="30" t="s">
        <v>753</v>
      </c>
      <c r="T68" s="30" t="s">
        <v>17</v>
      </c>
      <c r="U68" s="30" t="s">
        <v>241</v>
      </c>
      <c r="V68" s="30" t="s">
        <v>247</v>
      </c>
      <c r="W68" s="27" t="s">
        <v>241</v>
      </c>
      <c r="X68" s="27" t="s">
        <v>241</v>
      </c>
      <c r="Y68" s="27" t="s">
        <v>241</v>
      </c>
      <c r="Z68" s="27" t="s">
        <v>241</v>
      </c>
      <c r="AA68" s="27" t="s">
        <v>241</v>
      </c>
    </row>
    <row r="69" spans="1:27" ht="60" x14ac:dyDescent="0.15">
      <c r="A69" s="221"/>
      <c r="B69" s="45" t="s">
        <v>558</v>
      </c>
      <c r="C69" s="67" t="s">
        <v>241</v>
      </c>
      <c r="D69" s="224"/>
      <c r="E69" s="30" t="s">
        <v>239</v>
      </c>
      <c r="F69" s="30" t="s">
        <v>240</v>
      </c>
      <c r="G69" s="45">
        <v>4</v>
      </c>
      <c r="H69" s="45">
        <v>4</v>
      </c>
      <c r="I69" s="45">
        <v>4</v>
      </c>
      <c r="J69" s="45">
        <f t="shared" ref="J69:J72" si="22">(I69+H69+G69)</f>
        <v>12</v>
      </c>
      <c r="K69" s="30" t="s">
        <v>770</v>
      </c>
      <c r="L69" s="32" t="s">
        <v>777</v>
      </c>
      <c r="M69" s="30">
        <v>4</v>
      </c>
      <c r="N69" s="30">
        <v>2</v>
      </c>
      <c r="O69" s="30">
        <f t="shared" ref="O69:O72" si="23">J68*M69*N69</f>
        <v>96</v>
      </c>
      <c r="P69" s="28" t="str">
        <f t="shared" ref="P69:P72" si="24">IF(O69&lt;=94,"Low",IF(AND(O69&gt;94,O69&lt;=188),"Medium",IF(AND(O69&gt;188,O69&lt;=282),"High",IF(AND(O69&gt;282,O69&lt;=375),"Critical","Error"))))</f>
        <v>Medium</v>
      </c>
      <c r="Q69" s="32" t="s">
        <v>778</v>
      </c>
      <c r="R69" s="30" t="s">
        <v>779</v>
      </c>
      <c r="S69" s="45" t="s">
        <v>780</v>
      </c>
      <c r="T69" s="30" t="s">
        <v>249</v>
      </c>
      <c r="U69" s="30" t="s">
        <v>244</v>
      </c>
      <c r="V69" s="30" t="s">
        <v>247</v>
      </c>
      <c r="W69" s="45">
        <v>4</v>
      </c>
      <c r="X69" s="45">
        <v>1</v>
      </c>
      <c r="Y69" s="30">
        <f>J65*W69*X69</f>
        <v>44</v>
      </c>
      <c r="Z69" s="30" t="str">
        <f>IF(Y69&lt;94,"No","Yes")</f>
        <v>No</v>
      </c>
      <c r="AA69" s="45" t="s">
        <v>17</v>
      </c>
    </row>
    <row r="70" spans="1:27" ht="60" x14ac:dyDescent="0.15">
      <c r="A70" s="221"/>
      <c r="B70" s="45" t="s">
        <v>558</v>
      </c>
      <c r="C70" s="67" t="s">
        <v>241</v>
      </c>
      <c r="D70" s="223"/>
      <c r="E70" s="30" t="s">
        <v>239</v>
      </c>
      <c r="F70" s="30" t="s">
        <v>240</v>
      </c>
      <c r="G70" s="45">
        <v>4</v>
      </c>
      <c r="H70" s="45">
        <v>4</v>
      </c>
      <c r="I70" s="45">
        <v>4</v>
      </c>
      <c r="J70" s="45">
        <f t="shared" si="22"/>
        <v>12</v>
      </c>
      <c r="K70" s="30" t="s">
        <v>771</v>
      </c>
      <c r="L70" s="32" t="s">
        <v>775</v>
      </c>
      <c r="M70" s="30">
        <v>4</v>
      </c>
      <c r="N70" s="30">
        <v>1</v>
      </c>
      <c r="O70" s="30">
        <f t="shared" si="23"/>
        <v>48</v>
      </c>
      <c r="P70" s="28" t="str">
        <f t="shared" si="24"/>
        <v>Low</v>
      </c>
      <c r="Q70" s="32" t="s">
        <v>781</v>
      </c>
      <c r="R70" s="30" t="s">
        <v>752</v>
      </c>
      <c r="S70" s="45" t="s">
        <v>753</v>
      </c>
      <c r="T70" s="45" t="s">
        <v>17</v>
      </c>
      <c r="U70" s="45" t="s">
        <v>241</v>
      </c>
      <c r="V70" s="30" t="s">
        <v>247</v>
      </c>
      <c r="W70" s="27" t="s">
        <v>241</v>
      </c>
      <c r="X70" s="27" t="s">
        <v>241</v>
      </c>
      <c r="Y70" s="27" t="s">
        <v>241</v>
      </c>
      <c r="Z70" s="27" t="s">
        <v>241</v>
      </c>
      <c r="AA70" s="27" t="s">
        <v>241</v>
      </c>
    </row>
    <row r="71" spans="1:27" ht="60" x14ac:dyDescent="0.15">
      <c r="A71" s="221"/>
      <c r="B71" s="45" t="s">
        <v>558</v>
      </c>
      <c r="C71" s="67" t="s">
        <v>241</v>
      </c>
      <c r="D71" s="223"/>
      <c r="E71" s="30" t="s">
        <v>239</v>
      </c>
      <c r="F71" s="30" t="s">
        <v>240</v>
      </c>
      <c r="G71" s="45">
        <v>4</v>
      </c>
      <c r="H71" s="45">
        <v>4</v>
      </c>
      <c r="I71" s="45">
        <v>4</v>
      </c>
      <c r="J71" s="45">
        <f t="shared" si="22"/>
        <v>12</v>
      </c>
      <c r="K71" s="30" t="s">
        <v>772</v>
      </c>
      <c r="L71" s="32" t="s">
        <v>783</v>
      </c>
      <c r="M71" s="30">
        <v>4</v>
      </c>
      <c r="N71" s="30">
        <v>1</v>
      </c>
      <c r="O71" s="30">
        <f t="shared" si="23"/>
        <v>48</v>
      </c>
      <c r="P71" s="28" t="str">
        <f t="shared" si="24"/>
        <v>Low</v>
      </c>
      <c r="Q71" s="32" t="s">
        <v>782</v>
      </c>
      <c r="R71" s="30" t="s">
        <v>752</v>
      </c>
      <c r="S71" s="45" t="s">
        <v>753</v>
      </c>
      <c r="T71" s="45" t="s">
        <v>17</v>
      </c>
      <c r="U71" s="45" t="s">
        <v>241</v>
      </c>
      <c r="V71" s="30" t="s">
        <v>247</v>
      </c>
      <c r="W71" s="27" t="s">
        <v>241</v>
      </c>
      <c r="X71" s="27" t="s">
        <v>241</v>
      </c>
      <c r="Y71" s="27" t="s">
        <v>241</v>
      </c>
      <c r="Z71" s="27" t="s">
        <v>241</v>
      </c>
      <c r="AA71" s="27" t="s">
        <v>241</v>
      </c>
    </row>
    <row r="72" spans="1:27" ht="144" x14ac:dyDescent="0.15">
      <c r="A72" s="222"/>
      <c r="B72" s="45" t="s">
        <v>558</v>
      </c>
      <c r="C72" s="67" t="s">
        <v>241</v>
      </c>
      <c r="D72" s="225"/>
      <c r="E72" s="30" t="s">
        <v>239</v>
      </c>
      <c r="F72" s="30" t="s">
        <v>240</v>
      </c>
      <c r="G72" s="45">
        <v>4</v>
      </c>
      <c r="H72" s="45">
        <v>4</v>
      </c>
      <c r="I72" s="45">
        <v>4</v>
      </c>
      <c r="J72" s="45">
        <f t="shared" si="22"/>
        <v>12</v>
      </c>
      <c r="K72" s="30" t="s">
        <v>773</v>
      </c>
      <c r="L72" s="32" t="s">
        <v>784</v>
      </c>
      <c r="M72" s="30">
        <v>4</v>
      </c>
      <c r="N72" s="30">
        <v>3</v>
      </c>
      <c r="O72" s="30">
        <f t="shared" si="23"/>
        <v>144</v>
      </c>
      <c r="P72" s="28" t="str">
        <f t="shared" si="24"/>
        <v>Medium</v>
      </c>
      <c r="Q72" s="63" t="s">
        <v>785</v>
      </c>
      <c r="R72" s="45" t="s">
        <v>779</v>
      </c>
      <c r="S72" s="45" t="s">
        <v>780</v>
      </c>
      <c r="T72" s="32" t="s">
        <v>807</v>
      </c>
      <c r="U72" s="30" t="s">
        <v>247</v>
      </c>
      <c r="V72" s="30" t="s">
        <v>247</v>
      </c>
      <c r="W72" s="27">
        <v>4</v>
      </c>
      <c r="X72" s="27">
        <v>1</v>
      </c>
      <c r="Y72" s="30">
        <f>J68*W72*X72</f>
        <v>48</v>
      </c>
      <c r="Z72" s="30" t="str">
        <f>IF(Y72&lt;94,"No","Yes")</f>
        <v>No</v>
      </c>
      <c r="AA72" s="45" t="s">
        <v>17</v>
      </c>
    </row>
  </sheetData>
  <autoFilter ref="A3:AA72" xr:uid="{CB38A4AF-53DE-41A9-91BF-A7D9B5223AB7}"/>
  <mergeCells count="49">
    <mergeCell ref="D53:D54"/>
    <mergeCell ref="A68:A72"/>
    <mergeCell ref="D68:D72"/>
    <mergeCell ref="A60:A61"/>
    <mergeCell ref="D60:D61"/>
    <mergeCell ref="A62:A67"/>
    <mergeCell ref="D62:D67"/>
    <mergeCell ref="Z1:AA1"/>
    <mergeCell ref="W1:Y1"/>
    <mergeCell ref="T2:U2"/>
    <mergeCell ref="A1:J1"/>
    <mergeCell ref="K1:P1"/>
    <mergeCell ref="R1:U1"/>
    <mergeCell ref="P2:P3"/>
    <mergeCell ref="G2:I2"/>
    <mergeCell ref="J2:J3"/>
    <mergeCell ref="K2:O2"/>
    <mergeCell ref="B2:B3"/>
    <mergeCell ref="A4:A8"/>
    <mergeCell ref="D4:D8"/>
    <mergeCell ref="A2:A3"/>
    <mergeCell ref="D17:D18"/>
    <mergeCell ref="D19:D32"/>
    <mergeCell ref="A9:A16"/>
    <mergeCell ref="C9:C16"/>
    <mergeCell ref="D9:D16"/>
    <mergeCell ref="C4:C8"/>
    <mergeCell ref="D48:D49"/>
    <mergeCell ref="A55:A59"/>
    <mergeCell ref="C55:C59"/>
    <mergeCell ref="A17:A18"/>
    <mergeCell ref="A50:A52"/>
    <mergeCell ref="A45:A47"/>
    <mergeCell ref="A48:A49"/>
    <mergeCell ref="C48:C49"/>
    <mergeCell ref="C17:C18"/>
    <mergeCell ref="C45:C47"/>
    <mergeCell ref="C50:C52"/>
    <mergeCell ref="A53:A54"/>
    <mergeCell ref="D55:D59"/>
    <mergeCell ref="D50:D52"/>
    <mergeCell ref="D45:D47"/>
    <mergeCell ref="C53:C54"/>
    <mergeCell ref="K37:K40"/>
    <mergeCell ref="A19:A32"/>
    <mergeCell ref="K23:K27"/>
    <mergeCell ref="A33:A44"/>
    <mergeCell ref="C33:C44"/>
    <mergeCell ref="D33:D44"/>
  </mergeCells>
  <conditionalFormatting sqref="O4:O72">
    <cfRule type="cellIs" dxfId="88" priority="33" operator="between">
      <formula>283</formula>
      <formula>372</formula>
    </cfRule>
    <cfRule type="cellIs" dxfId="87" priority="36" operator="between">
      <formula>1</formula>
      <formula>94</formula>
    </cfRule>
    <cfRule type="cellIs" dxfId="86" priority="35" operator="between">
      <formula>95</formula>
      <formula>188</formula>
    </cfRule>
    <cfRule type="cellIs" dxfId="85" priority="34" operator="between">
      <formula>189</formula>
      <formula>282</formula>
    </cfRule>
  </conditionalFormatting>
  <conditionalFormatting sqref="O48:O66">
    <cfRule type="cellIs" dxfId="84" priority="44" operator="between">
      <formula>1</formula>
      <formula>48</formula>
    </cfRule>
    <cfRule type="cellIs" dxfId="83" priority="43" operator="between">
      <formula>49</formula>
      <formula>98</formula>
    </cfRule>
    <cfRule type="cellIs" dxfId="82" priority="42" operator="between">
      <formula>99</formula>
      <formula>144</formula>
    </cfRule>
    <cfRule type="cellIs" priority="41" operator="between">
      <formula>145</formula>
      <formula>192</formula>
    </cfRule>
  </conditionalFormatting>
  <conditionalFormatting sqref="Y4:Y21 O45:O46 Y25:Y26 Y30:Y33 Y43:Y58">
    <cfRule type="cellIs" dxfId="81" priority="94" operator="between">
      <formula>99</formula>
      <formula>144</formula>
    </cfRule>
  </conditionalFormatting>
  <conditionalFormatting sqref="Y4:Y21 Y25:Y26 Y30:Y33 Y43:Y58 O45:O46">
    <cfRule type="cellIs" dxfId="80" priority="96" operator="between">
      <formula>1</formula>
      <formula>48</formula>
    </cfRule>
    <cfRule type="cellIs" priority="93" operator="between">
      <formula>145</formula>
      <formula>192</formula>
    </cfRule>
    <cfRule type="cellIs" dxfId="79" priority="95" operator="between">
      <formula>49</formula>
      <formula>98</formula>
    </cfRule>
  </conditionalFormatting>
  <conditionalFormatting sqref="Y12 Y16">
    <cfRule type="cellIs" dxfId="78" priority="72" operator="between">
      <formula>1</formula>
      <formula>94</formula>
    </cfRule>
    <cfRule type="cellIs" dxfId="77" priority="71" operator="between">
      <formula>95</formula>
      <formula>188</formula>
    </cfRule>
    <cfRule type="cellIs" dxfId="76" priority="70" operator="between">
      <formula>189</formula>
      <formula>282</formula>
    </cfRule>
    <cfRule type="cellIs" dxfId="75" priority="69" operator="between">
      <formula>283</formula>
      <formula>372</formula>
    </cfRule>
  </conditionalFormatting>
  <conditionalFormatting sqref="Y22:Y24">
    <cfRule type="cellIs" dxfId="74" priority="81" operator="between">
      <formula>283</formula>
      <formula>372</formula>
    </cfRule>
    <cfRule type="cellIs" dxfId="73" priority="82" operator="between">
      <formula>189</formula>
      <formula>282</formula>
    </cfRule>
    <cfRule type="cellIs" dxfId="72" priority="83" operator="between">
      <formula>95</formula>
      <formula>188</formula>
    </cfRule>
    <cfRule type="cellIs" dxfId="71" priority="84" operator="between">
      <formula>1</formula>
      <formula>94</formula>
    </cfRule>
  </conditionalFormatting>
  <conditionalFormatting sqref="Y27 Y29">
    <cfRule type="cellIs" dxfId="70" priority="52" operator="between">
      <formula>1</formula>
      <formula>94</formula>
    </cfRule>
    <cfRule type="cellIs" dxfId="69" priority="51" operator="between">
      <formula>95</formula>
      <formula>188</formula>
    </cfRule>
    <cfRule type="cellIs" dxfId="68" priority="50" operator="between">
      <formula>189</formula>
      <formula>282</formula>
    </cfRule>
    <cfRule type="cellIs" dxfId="67" priority="49" operator="between">
      <formula>283</formula>
      <formula>372</formula>
    </cfRule>
  </conditionalFormatting>
  <conditionalFormatting sqref="Y28">
    <cfRule type="cellIs" priority="25" operator="between">
      <formula>145</formula>
      <formula>192</formula>
    </cfRule>
    <cfRule type="cellIs" dxfId="66" priority="26" operator="between">
      <formula>99</formula>
      <formula>144</formula>
    </cfRule>
    <cfRule type="cellIs" dxfId="65" priority="27" operator="between">
      <formula>49</formula>
      <formula>98</formula>
    </cfRule>
    <cfRule type="cellIs" dxfId="64" priority="28" operator="between">
      <formula>1</formula>
      <formula>48</formula>
    </cfRule>
  </conditionalFormatting>
  <conditionalFormatting sqref="Y34 Y36:Y38 Y40 Y42">
    <cfRule type="cellIs" dxfId="63" priority="76" operator="between">
      <formula>1</formula>
      <formula>94</formula>
    </cfRule>
    <cfRule type="cellIs" dxfId="62" priority="75" operator="between">
      <formula>95</formula>
      <formula>188</formula>
    </cfRule>
    <cfRule type="cellIs" dxfId="61" priority="74" operator="between">
      <formula>189</formula>
      <formula>282</formula>
    </cfRule>
    <cfRule type="cellIs" dxfId="60" priority="73" operator="between">
      <formula>283</formula>
      <formula>372</formula>
    </cfRule>
  </conditionalFormatting>
  <conditionalFormatting sqref="Y35">
    <cfRule type="cellIs" dxfId="59" priority="24" operator="between">
      <formula>1</formula>
      <formula>48</formula>
    </cfRule>
    <cfRule type="cellIs" dxfId="58" priority="23" operator="between">
      <formula>49</formula>
      <formula>98</formula>
    </cfRule>
    <cfRule type="cellIs" dxfId="57" priority="22" operator="between">
      <formula>99</formula>
      <formula>144</formula>
    </cfRule>
    <cfRule type="cellIs" priority="21" operator="between">
      <formula>145</formula>
      <formula>192</formula>
    </cfRule>
  </conditionalFormatting>
  <conditionalFormatting sqref="Y39">
    <cfRule type="cellIs" dxfId="56" priority="20" operator="between">
      <formula>1</formula>
      <formula>48</formula>
    </cfRule>
    <cfRule type="cellIs" dxfId="55" priority="19" operator="between">
      <formula>49</formula>
      <formula>98</formula>
    </cfRule>
    <cfRule type="cellIs" dxfId="54" priority="18" operator="between">
      <formula>99</formula>
      <formula>144</formula>
    </cfRule>
    <cfRule type="cellIs" priority="17" operator="between">
      <formula>145</formula>
      <formula>192</formula>
    </cfRule>
  </conditionalFormatting>
  <conditionalFormatting sqref="Y41">
    <cfRule type="cellIs" dxfId="53" priority="15" operator="between">
      <formula>49</formula>
      <formula>98</formula>
    </cfRule>
    <cfRule type="cellIs" priority="13" operator="between">
      <formula>145</formula>
      <formula>192</formula>
    </cfRule>
    <cfRule type="cellIs" dxfId="52" priority="14" operator="between">
      <formula>99</formula>
      <formula>144</formula>
    </cfRule>
    <cfRule type="cellIs" dxfId="51" priority="16" operator="between">
      <formula>1</formula>
      <formula>48</formula>
    </cfRule>
  </conditionalFormatting>
  <conditionalFormatting sqref="Y59">
    <cfRule type="cellIs" dxfId="50" priority="65" operator="between">
      <formula>283</formula>
      <formula>372</formula>
    </cfRule>
    <cfRule type="cellIs" dxfId="49" priority="66" operator="between">
      <formula>189</formula>
      <formula>282</formula>
    </cfRule>
    <cfRule type="cellIs" dxfId="48" priority="67" operator="between">
      <formula>95</formula>
      <formula>188</formula>
    </cfRule>
    <cfRule type="cellIs" dxfId="47" priority="68" operator="between">
      <formula>1</formula>
      <formula>94</formula>
    </cfRule>
  </conditionalFormatting>
  <conditionalFormatting sqref="Y60:Y68">
    <cfRule type="cellIs" priority="9" operator="between">
      <formula>145</formula>
      <formula>192</formula>
    </cfRule>
    <cfRule type="cellIs" dxfId="46" priority="11" operator="between">
      <formula>49</formula>
      <formula>98</formula>
    </cfRule>
    <cfRule type="cellIs" dxfId="45" priority="12" operator="between">
      <formula>1</formula>
      <formula>48</formula>
    </cfRule>
    <cfRule type="cellIs" dxfId="44" priority="10" operator="between">
      <formula>99</formula>
      <formula>144</formula>
    </cfRule>
  </conditionalFormatting>
  <conditionalFormatting sqref="Y69">
    <cfRule type="cellIs" dxfId="43" priority="29" operator="between">
      <formula>283</formula>
      <formula>372</formula>
    </cfRule>
    <cfRule type="cellIs" dxfId="42" priority="32" operator="between">
      <formula>1</formula>
      <formula>94</formula>
    </cfRule>
    <cfRule type="cellIs" dxfId="41" priority="31" operator="between">
      <formula>95</formula>
      <formula>188</formula>
    </cfRule>
    <cfRule type="cellIs" dxfId="40" priority="30" operator="between">
      <formula>189</formula>
      <formula>282</formula>
    </cfRule>
  </conditionalFormatting>
  <conditionalFormatting sqref="Y70:Y71">
    <cfRule type="cellIs" priority="5" operator="between">
      <formula>145</formula>
      <formula>192</formula>
    </cfRule>
    <cfRule type="cellIs" dxfId="39" priority="6" operator="between">
      <formula>99</formula>
      <formula>144</formula>
    </cfRule>
    <cfRule type="cellIs" dxfId="38" priority="7" operator="between">
      <formula>49</formula>
      <formula>98</formula>
    </cfRule>
    <cfRule type="cellIs" dxfId="37" priority="8" operator="between">
      <formula>1</formula>
      <formula>48</formula>
    </cfRule>
  </conditionalFormatting>
  <conditionalFormatting sqref="Y72">
    <cfRule type="cellIs" dxfId="36" priority="3" operator="between">
      <formula>95</formula>
      <formula>188</formula>
    </cfRule>
    <cfRule type="cellIs" dxfId="35" priority="4" operator="between">
      <formula>1</formula>
      <formula>94</formula>
    </cfRule>
    <cfRule type="cellIs" dxfId="34" priority="2" operator="between">
      <formula>189</formula>
      <formula>282</formula>
    </cfRule>
    <cfRule type="cellIs" dxfId="33" priority="1" operator="between">
      <formula>283</formula>
      <formula>372</formula>
    </cfRule>
  </conditionalFormatting>
  <pageMargins left="0.75" right="0.75" top="1" bottom="1" header="0.5" footer="0.5"/>
  <pageSetup orientation="portrait" verticalDpi="1200" r:id="rId1"/>
  <headerFooter alignWithMargins="0"/>
  <ignoredErrors>
    <ignoredError sqref="O54"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4E572-C667-4EEF-BD5B-9FAA1B2F0D56}">
  <sheetPr codeName="Sheet4"/>
  <dimension ref="A1:AA45"/>
  <sheetViews>
    <sheetView tabSelected="1" zoomScaleNormal="100" workbookViewId="0">
      <pane xSplit="2" ySplit="3" topLeftCell="K4" activePane="bottomRight" state="frozen"/>
      <selection pane="topRight" activeCell="C1" sqref="C1"/>
      <selection pane="bottomLeft" activeCell="A4" sqref="A4"/>
      <selection pane="bottomRight" activeCell="P4" sqref="P4"/>
    </sheetView>
  </sheetViews>
  <sheetFormatPr baseColWidth="10" defaultColWidth="9.1640625" defaultRowHeight="16" x14ac:dyDescent="0.15"/>
  <cols>
    <col min="1" max="1" width="5.5" style="8" customWidth="1"/>
    <col min="2" max="3" width="17.1640625" style="9" customWidth="1"/>
    <col min="4" max="6" width="10.5" style="9" customWidth="1"/>
    <col min="7" max="7" width="10.6640625" style="8" customWidth="1"/>
    <col min="8" max="8" width="7.1640625" style="8" customWidth="1"/>
    <col min="9" max="9" width="8.5" style="8" customWidth="1"/>
    <col min="10" max="10" width="11.5" style="8" customWidth="1"/>
    <col min="11" max="11" width="25.5" style="8" customWidth="1"/>
    <col min="12" max="12" width="22.83203125" style="8" customWidth="1"/>
    <col min="13" max="13" width="7.6640625" style="8" customWidth="1"/>
    <col min="14" max="14" width="13.5" style="8" customWidth="1"/>
    <col min="15" max="15" width="16.33203125" style="8" customWidth="1"/>
    <col min="16" max="16" width="11.5" style="8" customWidth="1"/>
    <col min="17" max="17" width="26.5" style="8" customWidth="1"/>
    <col min="18" max="26" width="16.33203125" style="8" customWidth="1"/>
    <col min="27" max="27" width="24.33203125" style="8" bestFit="1" customWidth="1"/>
    <col min="28" max="16384" width="9.1640625" style="8"/>
  </cols>
  <sheetData>
    <row r="1" spans="1:27" s="7" customFormat="1" x14ac:dyDescent="0.15">
      <c r="A1" s="152"/>
      <c r="B1" s="149"/>
      <c r="C1" s="149"/>
      <c r="D1" s="149"/>
      <c r="E1" s="149"/>
      <c r="F1" s="149"/>
      <c r="G1" s="149"/>
      <c r="H1" s="149"/>
      <c r="I1" s="149"/>
      <c r="J1" s="149"/>
      <c r="K1" s="149" t="s">
        <v>24</v>
      </c>
      <c r="L1" s="149"/>
      <c r="M1" s="149"/>
      <c r="N1" s="149"/>
      <c r="O1" s="149"/>
      <c r="P1" s="149"/>
      <c r="Q1" s="20"/>
      <c r="R1" s="149" t="s">
        <v>52</v>
      </c>
      <c r="S1" s="149"/>
      <c r="T1" s="149"/>
      <c r="U1" s="149"/>
      <c r="V1" s="20"/>
      <c r="W1" s="149" t="s">
        <v>55</v>
      </c>
      <c r="X1" s="149"/>
      <c r="Y1" s="149"/>
      <c r="Z1" s="149" t="s">
        <v>75</v>
      </c>
      <c r="AA1" s="150"/>
    </row>
    <row r="2" spans="1:27" s="7" customFormat="1" x14ac:dyDescent="0.15">
      <c r="A2" s="153" t="s">
        <v>0</v>
      </c>
      <c r="B2" s="155" t="s">
        <v>1</v>
      </c>
      <c r="C2" s="21"/>
      <c r="D2" s="21"/>
      <c r="E2" s="21"/>
      <c r="F2" s="21"/>
      <c r="G2" s="157" t="s">
        <v>4</v>
      </c>
      <c r="H2" s="157"/>
      <c r="I2" s="157"/>
      <c r="J2" s="158" t="s">
        <v>834</v>
      </c>
      <c r="K2" s="151" t="s">
        <v>25</v>
      </c>
      <c r="L2" s="151"/>
      <c r="M2" s="151"/>
      <c r="N2" s="151"/>
      <c r="O2" s="151"/>
      <c r="P2" s="217" t="s">
        <v>6</v>
      </c>
      <c r="Q2" s="21" t="s">
        <v>53</v>
      </c>
      <c r="R2" s="21" t="s">
        <v>32</v>
      </c>
      <c r="S2" s="21" t="s">
        <v>34</v>
      </c>
      <c r="T2" s="160" t="s">
        <v>39</v>
      </c>
      <c r="U2" s="161"/>
      <c r="V2" s="21" t="s">
        <v>37</v>
      </c>
      <c r="W2" s="21" t="s">
        <v>46</v>
      </c>
      <c r="X2" s="21" t="s">
        <v>48</v>
      </c>
      <c r="Y2" s="21" t="s">
        <v>54</v>
      </c>
      <c r="Z2" s="21" t="s">
        <v>51</v>
      </c>
      <c r="AA2" s="22" t="s">
        <v>76</v>
      </c>
    </row>
    <row r="3" spans="1:27" s="7" customFormat="1" ht="30" customHeight="1" thickBot="1" x14ac:dyDescent="0.2">
      <c r="A3" s="154"/>
      <c r="B3" s="156"/>
      <c r="C3" s="21" t="s">
        <v>57</v>
      </c>
      <c r="D3" s="36" t="s">
        <v>235</v>
      </c>
      <c r="E3" s="36" t="s">
        <v>237</v>
      </c>
      <c r="F3" s="36" t="s">
        <v>238</v>
      </c>
      <c r="G3" s="23" t="s">
        <v>7</v>
      </c>
      <c r="H3" s="24" t="s">
        <v>8</v>
      </c>
      <c r="I3" s="23" t="s">
        <v>77</v>
      </c>
      <c r="J3" s="159"/>
      <c r="K3" s="25" t="s">
        <v>26</v>
      </c>
      <c r="L3" s="25" t="s">
        <v>27</v>
      </c>
      <c r="M3" s="25" t="s">
        <v>29</v>
      </c>
      <c r="N3" s="25" t="s">
        <v>30</v>
      </c>
      <c r="O3" s="25" t="s">
        <v>31</v>
      </c>
      <c r="P3" s="218"/>
      <c r="Q3" s="25" t="s">
        <v>28</v>
      </c>
      <c r="R3" s="25" t="s">
        <v>33</v>
      </c>
      <c r="S3" s="25" t="s">
        <v>35</v>
      </c>
      <c r="T3" s="25" t="s">
        <v>233</v>
      </c>
      <c r="U3" s="25" t="s">
        <v>234</v>
      </c>
      <c r="V3" s="25" t="s">
        <v>38</v>
      </c>
      <c r="W3" s="25" t="s">
        <v>47</v>
      </c>
      <c r="X3" s="25" t="s">
        <v>49</v>
      </c>
      <c r="Y3" s="25" t="s">
        <v>50</v>
      </c>
      <c r="Z3" s="26" t="s">
        <v>257</v>
      </c>
      <c r="AA3" s="26" t="s">
        <v>78</v>
      </c>
    </row>
    <row r="4" spans="1:27" ht="48" x14ac:dyDescent="0.15">
      <c r="A4" s="30">
        <v>1</v>
      </c>
      <c r="B4" s="30" t="s">
        <v>168</v>
      </c>
      <c r="C4" s="30" t="s">
        <v>443</v>
      </c>
      <c r="D4" s="30">
        <v>52</v>
      </c>
      <c r="E4" s="30" t="s">
        <v>239</v>
      </c>
      <c r="F4" s="27" t="s">
        <v>240</v>
      </c>
      <c r="G4" s="30">
        <v>4</v>
      </c>
      <c r="H4" s="30">
        <v>3</v>
      </c>
      <c r="I4" s="30">
        <v>4</v>
      </c>
      <c r="J4" s="30">
        <f>(I4+H4+G4)</f>
        <v>11</v>
      </c>
      <c r="K4" s="30" t="s">
        <v>169</v>
      </c>
      <c r="L4" s="32" t="s">
        <v>170</v>
      </c>
      <c r="M4" s="30">
        <v>4</v>
      </c>
      <c r="N4" s="30">
        <v>1</v>
      </c>
      <c r="O4" s="30">
        <f>J4*M4*N4</f>
        <v>44</v>
      </c>
      <c r="P4" s="31" t="str">
        <f>IF(O4&lt;=94,"Low",IF(AND(O4&gt;94,O4&lt;=188),"Medium",IF(AND(O4&gt;188,O4&lt;=282),"High",IF(AND(O4&gt;282,O4&lt;=375),"Critical","Error"))))</f>
        <v>Low</v>
      </c>
      <c r="Q4" s="32" t="s">
        <v>710</v>
      </c>
      <c r="R4" s="30" t="str">
        <f t="shared" ref="R4:R17" si="0">IF(O4&gt;94,"No","Yes")</f>
        <v>Yes</v>
      </c>
      <c r="S4" s="30" t="str">
        <f t="shared" ref="S4:S30" si="1">IF(R4="Yes","Accept","Mitigate")</f>
        <v>Accept</v>
      </c>
      <c r="T4" s="27" t="s">
        <v>17</v>
      </c>
      <c r="U4" s="27" t="s">
        <v>241</v>
      </c>
      <c r="V4" s="27" t="s">
        <v>711</v>
      </c>
      <c r="W4" s="30" t="s">
        <v>241</v>
      </c>
      <c r="X4" s="30" t="s">
        <v>241</v>
      </c>
      <c r="Y4" s="30" t="s">
        <v>241</v>
      </c>
      <c r="Z4" s="30" t="s">
        <v>241</v>
      </c>
      <c r="AA4" s="30" t="s">
        <v>241</v>
      </c>
    </row>
    <row r="5" spans="1:27" ht="24" x14ac:dyDescent="0.15">
      <c r="A5" s="30">
        <v>2</v>
      </c>
      <c r="B5" s="30" t="s">
        <v>698</v>
      </c>
      <c r="C5" s="30" t="s">
        <v>443</v>
      </c>
      <c r="D5" s="30">
        <v>60</v>
      </c>
      <c r="E5" s="30" t="s">
        <v>239</v>
      </c>
      <c r="F5" s="27" t="s">
        <v>240</v>
      </c>
      <c r="G5" s="30">
        <v>2</v>
      </c>
      <c r="H5" s="30">
        <v>3</v>
      </c>
      <c r="I5" s="30">
        <v>4</v>
      </c>
      <c r="J5" s="30">
        <f>(I5+H5+G5)</f>
        <v>9</v>
      </c>
      <c r="K5" s="30" t="s">
        <v>172</v>
      </c>
      <c r="L5" s="32" t="s">
        <v>178</v>
      </c>
      <c r="M5" s="30">
        <v>4</v>
      </c>
      <c r="N5" s="30">
        <v>2</v>
      </c>
      <c r="O5" s="30">
        <f>J5*M5*N5</f>
        <v>72</v>
      </c>
      <c r="P5" s="31" t="str">
        <f t="shared" ref="P5:P44" si="2">IF(O5&lt;=94,"Low",IF(AND(O5&gt;94,O5&lt;=188),"Medium",IF(AND(O5&gt;188,O5&lt;=282),"High",IF(AND(O5&gt;282,O5&lt;=375),"Critical","Error"))))</f>
        <v>Low</v>
      </c>
      <c r="Q5" s="32" t="s">
        <v>179</v>
      </c>
      <c r="R5" s="30" t="str">
        <f t="shared" si="0"/>
        <v>Yes</v>
      </c>
      <c r="S5" s="30" t="str">
        <f>IF(R5="Yes","Accept","Mitigate")</f>
        <v>Accept</v>
      </c>
      <c r="T5" s="27" t="s">
        <v>17</v>
      </c>
      <c r="U5" s="27" t="s">
        <v>241</v>
      </c>
      <c r="V5" s="27" t="s">
        <v>711</v>
      </c>
      <c r="W5" s="30" t="s">
        <v>241</v>
      </c>
      <c r="X5" s="30" t="s">
        <v>241</v>
      </c>
      <c r="Y5" s="30" t="s">
        <v>241</v>
      </c>
      <c r="Z5" s="30" t="s">
        <v>241</v>
      </c>
      <c r="AA5" s="30" t="s">
        <v>241</v>
      </c>
    </row>
    <row r="6" spans="1:27" ht="21" customHeight="1" x14ac:dyDescent="0.15">
      <c r="A6" s="162">
        <v>3</v>
      </c>
      <c r="B6" s="30" t="s">
        <v>708</v>
      </c>
      <c r="C6" s="162" t="s">
        <v>443</v>
      </c>
      <c r="D6" s="147">
        <v>11</v>
      </c>
      <c r="E6" s="34" t="s">
        <v>239</v>
      </c>
      <c r="F6" s="34" t="s">
        <v>240</v>
      </c>
      <c r="G6" s="30">
        <v>2</v>
      </c>
      <c r="H6" s="30">
        <v>3</v>
      </c>
      <c r="I6" s="30">
        <v>4</v>
      </c>
      <c r="J6" s="30">
        <f>(I6+H6+G6)</f>
        <v>9</v>
      </c>
      <c r="K6" s="30" t="s">
        <v>172</v>
      </c>
      <c r="L6" s="32" t="s">
        <v>174</v>
      </c>
      <c r="M6" s="30">
        <v>4</v>
      </c>
      <c r="N6" s="30">
        <v>1</v>
      </c>
      <c r="O6" s="30">
        <f>J6*M6*N6</f>
        <v>36</v>
      </c>
      <c r="P6" s="31" t="str">
        <f t="shared" si="2"/>
        <v>Low</v>
      </c>
      <c r="Q6" s="32" t="s">
        <v>176</v>
      </c>
      <c r="R6" s="30" t="str">
        <f t="shared" si="0"/>
        <v>Yes</v>
      </c>
      <c r="S6" s="30" t="str">
        <f t="shared" si="1"/>
        <v>Accept</v>
      </c>
      <c r="T6" s="27" t="s">
        <v>17</v>
      </c>
      <c r="U6" s="27" t="s">
        <v>241</v>
      </c>
      <c r="V6" s="27" t="s">
        <v>643</v>
      </c>
      <c r="W6" s="30" t="s">
        <v>241</v>
      </c>
      <c r="X6" s="30" t="s">
        <v>241</v>
      </c>
      <c r="Y6" s="30" t="s">
        <v>241</v>
      </c>
      <c r="Z6" s="30" t="s">
        <v>241</v>
      </c>
      <c r="AA6" s="30" t="s">
        <v>241</v>
      </c>
    </row>
    <row r="7" spans="1:27" ht="36" x14ac:dyDescent="0.15">
      <c r="A7" s="162"/>
      <c r="B7" s="30" t="s">
        <v>708</v>
      </c>
      <c r="C7" s="162"/>
      <c r="D7" s="148"/>
      <c r="E7" s="34" t="s">
        <v>239</v>
      </c>
      <c r="F7" s="34" t="s">
        <v>240</v>
      </c>
      <c r="G7" s="30">
        <v>2</v>
      </c>
      <c r="H7" s="30">
        <v>3</v>
      </c>
      <c r="I7" s="30">
        <v>4</v>
      </c>
      <c r="J7" s="30">
        <f>(I7+H7+G7)</f>
        <v>9</v>
      </c>
      <c r="K7" s="30" t="s">
        <v>173</v>
      </c>
      <c r="L7" s="32" t="s">
        <v>175</v>
      </c>
      <c r="M7" s="30">
        <v>4</v>
      </c>
      <c r="N7" s="30">
        <v>1</v>
      </c>
      <c r="O7" s="30">
        <f>J6*M7*N7</f>
        <v>36</v>
      </c>
      <c r="P7" s="31" t="str">
        <f t="shared" si="2"/>
        <v>Low</v>
      </c>
      <c r="Q7" s="32" t="s">
        <v>177</v>
      </c>
      <c r="R7" s="30" t="str">
        <f t="shared" si="0"/>
        <v>Yes</v>
      </c>
      <c r="S7" s="30" t="str">
        <f t="shared" si="1"/>
        <v>Accept</v>
      </c>
      <c r="T7" s="27" t="s">
        <v>17</v>
      </c>
      <c r="U7" s="27" t="s">
        <v>241</v>
      </c>
      <c r="V7" s="27" t="s">
        <v>643</v>
      </c>
      <c r="W7" s="30" t="s">
        <v>241</v>
      </c>
      <c r="X7" s="30" t="s">
        <v>241</v>
      </c>
      <c r="Y7" s="30" t="s">
        <v>241</v>
      </c>
      <c r="Z7" s="30" t="s">
        <v>241</v>
      </c>
      <c r="AA7" s="30" t="s">
        <v>241</v>
      </c>
    </row>
    <row r="8" spans="1:27" ht="21" customHeight="1" x14ac:dyDescent="0.15">
      <c r="A8" s="162">
        <v>4</v>
      </c>
      <c r="B8" s="30" t="s">
        <v>707</v>
      </c>
      <c r="C8" s="162" t="s">
        <v>443</v>
      </c>
      <c r="D8" s="147">
        <v>6</v>
      </c>
      <c r="E8" s="34" t="s">
        <v>239</v>
      </c>
      <c r="F8" s="34" t="s">
        <v>240</v>
      </c>
      <c r="G8" s="30">
        <v>2</v>
      </c>
      <c r="H8" s="30">
        <v>3</v>
      </c>
      <c r="I8" s="30">
        <v>4</v>
      </c>
      <c r="J8" s="30">
        <f>(I8+H8+G8)</f>
        <v>9</v>
      </c>
      <c r="K8" s="30" t="s">
        <v>172</v>
      </c>
      <c r="L8" s="32" t="s">
        <v>174</v>
      </c>
      <c r="M8" s="30">
        <v>4</v>
      </c>
      <c r="N8" s="30">
        <v>1</v>
      </c>
      <c r="O8" s="30">
        <f>J8*M8*N8</f>
        <v>36</v>
      </c>
      <c r="P8" s="31" t="str">
        <f t="shared" si="2"/>
        <v>Low</v>
      </c>
      <c r="Q8" s="32" t="s">
        <v>176</v>
      </c>
      <c r="R8" s="30" t="str">
        <f t="shared" si="0"/>
        <v>Yes</v>
      </c>
      <c r="S8" s="30" t="str">
        <f>IF(R8="Yes","Accept","Mitigate")</f>
        <v>Accept</v>
      </c>
      <c r="T8" s="27" t="s">
        <v>17</v>
      </c>
      <c r="U8" s="27" t="s">
        <v>241</v>
      </c>
      <c r="V8" s="27" t="s">
        <v>643</v>
      </c>
      <c r="W8" s="30" t="s">
        <v>241</v>
      </c>
      <c r="X8" s="30" t="s">
        <v>241</v>
      </c>
      <c r="Y8" s="30" t="s">
        <v>241</v>
      </c>
      <c r="Z8" s="30" t="s">
        <v>241</v>
      </c>
      <c r="AA8" s="30" t="s">
        <v>241</v>
      </c>
    </row>
    <row r="9" spans="1:27" ht="36" x14ac:dyDescent="0.15">
      <c r="A9" s="162"/>
      <c r="B9" s="30" t="s">
        <v>707</v>
      </c>
      <c r="C9" s="162"/>
      <c r="D9" s="164"/>
      <c r="E9" s="34" t="s">
        <v>239</v>
      </c>
      <c r="F9" s="34" t="s">
        <v>240</v>
      </c>
      <c r="G9" s="30">
        <v>2</v>
      </c>
      <c r="H9" s="30">
        <v>3</v>
      </c>
      <c r="I9" s="30">
        <v>4</v>
      </c>
      <c r="J9" s="30">
        <f t="shared" ref="J9:J10" si="3">(I9+H9+G9)</f>
        <v>9</v>
      </c>
      <c r="K9" s="30" t="s">
        <v>180</v>
      </c>
      <c r="L9" s="32" t="s">
        <v>181</v>
      </c>
      <c r="M9" s="30">
        <v>3</v>
      </c>
      <c r="N9" s="30">
        <v>3</v>
      </c>
      <c r="O9" s="30">
        <f>J8*M9*N9</f>
        <v>81</v>
      </c>
      <c r="P9" s="31" t="str">
        <f t="shared" si="2"/>
        <v>Low</v>
      </c>
      <c r="Q9" s="32"/>
      <c r="R9" s="30" t="str">
        <f t="shared" si="0"/>
        <v>Yes</v>
      </c>
      <c r="S9" s="30" t="str">
        <f>IF(R9="Yes","Accept","Mitigate")</f>
        <v>Accept</v>
      </c>
      <c r="T9" s="27" t="s">
        <v>17</v>
      </c>
      <c r="U9" s="27" t="s">
        <v>241</v>
      </c>
      <c r="V9" s="27" t="s">
        <v>643</v>
      </c>
      <c r="W9" s="30" t="s">
        <v>241</v>
      </c>
      <c r="X9" s="30" t="s">
        <v>241</v>
      </c>
      <c r="Y9" s="30" t="s">
        <v>241</v>
      </c>
      <c r="Z9" s="30" t="s">
        <v>241</v>
      </c>
      <c r="AA9" s="30" t="s">
        <v>241</v>
      </c>
    </row>
    <row r="10" spans="1:27" ht="36" x14ac:dyDescent="0.15">
      <c r="A10" s="162"/>
      <c r="B10" s="30" t="s">
        <v>707</v>
      </c>
      <c r="C10" s="162"/>
      <c r="D10" s="148"/>
      <c r="E10" s="34" t="s">
        <v>239</v>
      </c>
      <c r="F10" s="34" t="s">
        <v>240</v>
      </c>
      <c r="G10" s="30">
        <v>2</v>
      </c>
      <c r="H10" s="30">
        <v>3</v>
      </c>
      <c r="I10" s="30">
        <v>4</v>
      </c>
      <c r="J10" s="30">
        <f t="shared" si="3"/>
        <v>9</v>
      </c>
      <c r="K10" s="30" t="s">
        <v>173</v>
      </c>
      <c r="L10" s="32" t="s">
        <v>175</v>
      </c>
      <c r="M10" s="30">
        <v>4</v>
      </c>
      <c r="N10" s="30">
        <v>1</v>
      </c>
      <c r="O10" s="30">
        <f>J8*M10*N10</f>
        <v>36</v>
      </c>
      <c r="P10" s="31" t="str">
        <f t="shared" si="2"/>
        <v>Low</v>
      </c>
      <c r="Q10" s="32" t="s">
        <v>177</v>
      </c>
      <c r="R10" s="30" t="str">
        <f t="shared" si="0"/>
        <v>Yes</v>
      </c>
      <c r="S10" s="30" t="str">
        <f>IF(R10="Yes","Accept","Mitigate")</f>
        <v>Accept</v>
      </c>
      <c r="T10" s="27" t="s">
        <v>17</v>
      </c>
      <c r="U10" s="27" t="s">
        <v>241</v>
      </c>
      <c r="V10" s="27" t="s">
        <v>643</v>
      </c>
      <c r="W10" s="30" t="s">
        <v>241</v>
      </c>
      <c r="X10" s="30" t="s">
        <v>241</v>
      </c>
      <c r="Y10" s="30" t="s">
        <v>241</v>
      </c>
      <c r="Z10" s="30" t="s">
        <v>241</v>
      </c>
      <c r="AA10" s="30" t="s">
        <v>241</v>
      </c>
    </row>
    <row r="11" spans="1:27" ht="24" x14ac:dyDescent="0.15">
      <c r="A11" s="30">
        <v>5</v>
      </c>
      <c r="B11" s="30" t="s">
        <v>712</v>
      </c>
      <c r="C11" s="30" t="s">
        <v>443</v>
      </c>
      <c r="D11" s="30">
        <v>4</v>
      </c>
      <c r="E11" s="30" t="s">
        <v>239</v>
      </c>
      <c r="F11" s="30" t="s">
        <v>240</v>
      </c>
      <c r="G11" s="30">
        <v>2</v>
      </c>
      <c r="H11" s="30">
        <v>3</v>
      </c>
      <c r="I11" s="30">
        <v>4</v>
      </c>
      <c r="J11" s="30">
        <f t="shared" ref="J11:J24" si="4">(I11+H11+G11)</f>
        <v>9</v>
      </c>
      <c r="K11" s="30" t="s">
        <v>172</v>
      </c>
      <c r="L11" s="32" t="s">
        <v>182</v>
      </c>
      <c r="M11" s="30">
        <v>4</v>
      </c>
      <c r="N11" s="30">
        <v>1</v>
      </c>
      <c r="O11" s="30">
        <f t="shared" ref="O11:O16" si="5">J11*M11*N11</f>
        <v>36</v>
      </c>
      <c r="P11" s="31" t="str">
        <f t="shared" si="2"/>
        <v>Low</v>
      </c>
      <c r="Q11" s="32" t="s">
        <v>183</v>
      </c>
      <c r="R11" s="30" t="str">
        <f t="shared" si="0"/>
        <v>Yes</v>
      </c>
      <c r="S11" s="30" t="str">
        <f t="shared" si="1"/>
        <v>Accept</v>
      </c>
      <c r="T11" s="27" t="s">
        <v>17</v>
      </c>
      <c r="U11" s="27" t="s">
        <v>241</v>
      </c>
      <c r="V11" s="27" t="s">
        <v>643</v>
      </c>
      <c r="W11" s="30" t="s">
        <v>241</v>
      </c>
      <c r="X11" s="30" t="s">
        <v>241</v>
      </c>
      <c r="Y11" s="30" t="s">
        <v>241</v>
      </c>
      <c r="Z11" s="30" t="s">
        <v>241</v>
      </c>
      <c r="AA11" s="30" t="s">
        <v>241</v>
      </c>
    </row>
    <row r="12" spans="1:27" ht="36" x14ac:dyDescent="0.15">
      <c r="A12" s="30">
        <v>6</v>
      </c>
      <c r="B12" s="30" t="s">
        <v>713</v>
      </c>
      <c r="C12" s="30" t="s">
        <v>443</v>
      </c>
      <c r="D12" s="147">
        <v>1</v>
      </c>
      <c r="E12" s="30" t="s">
        <v>239</v>
      </c>
      <c r="F12" s="30" t="s">
        <v>240</v>
      </c>
      <c r="G12" s="30">
        <v>2</v>
      </c>
      <c r="H12" s="30">
        <v>3</v>
      </c>
      <c r="I12" s="30">
        <v>4</v>
      </c>
      <c r="J12" s="30">
        <f t="shared" si="4"/>
        <v>9</v>
      </c>
      <c r="K12" s="30" t="s">
        <v>172</v>
      </c>
      <c r="L12" s="32" t="s">
        <v>182</v>
      </c>
      <c r="M12" s="30">
        <v>4</v>
      </c>
      <c r="N12" s="30">
        <v>1</v>
      </c>
      <c r="O12" s="30">
        <f t="shared" si="5"/>
        <v>36</v>
      </c>
      <c r="P12" s="31" t="str">
        <f t="shared" si="2"/>
        <v>Low</v>
      </c>
      <c r="Q12" s="32" t="s">
        <v>183</v>
      </c>
      <c r="R12" s="30" t="str">
        <f t="shared" si="0"/>
        <v>Yes</v>
      </c>
      <c r="S12" s="30" t="str">
        <f t="shared" si="1"/>
        <v>Accept</v>
      </c>
      <c r="T12" s="27" t="s">
        <v>17</v>
      </c>
      <c r="U12" s="27" t="s">
        <v>241</v>
      </c>
      <c r="V12" s="27" t="s">
        <v>643</v>
      </c>
      <c r="W12" s="30" t="s">
        <v>241</v>
      </c>
      <c r="X12" s="30" t="s">
        <v>241</v>
      </c>
      <c r="Y12" s="30" t="s">
        <v>241</v>
      </c>
      <c r="Z12" s="30" t="s">
        <v>241</v>
      </c>
      <c r="AA12" s="30" t="s">
        <v>241</v>
      </c>
    </row>
    <row r="13" spans="1:27" ht="36" x14ac:dyDescent="0.15">
      <c r="A13" s="30">
        <v>7</v>
      </c>
      <c r="B13" s="30" t="s">
        <v>713</v>
      </c>
      <c r="C13" s="30" t="s">
        <v>443</v>
      </c>
      <c r="D13" s="148"/>
      <c r="E13" s="30" t="s">
        <v>239</v>
      </c>
      <c r="F13" s="30" t="s">
        <v>240</v>
      </c>
      <c r="G13" s="30">
        <v>2</v>
      </c>
      <c r="H13" s="30">
        <v>3</v>
      </c>
      <c r="I13" s="30">
        <v>4</v>
      </c>
      <c r="J13" s="30">
        <f t="shared" si="4"/>
        <v>9</v>
      </c>
      <c r="K13" s="30" t="s">
        <v>172</v>
      </c>
      <c r="L13" s="32" t="s">
        <v>796</v>
      </c>
      <c r="M13" s="30">
        <v>4</v>
      </c>
      <c r="N13" s="30">
        <v>1</v>
      </c>
      <c r="O13" s="30">
        <f t="shared" si="5"/>
        <v>36</v>
      </c>
      <c r="P13" s="31" t="str">
        <f t="shared" ref="P13" si="6">IF(O13&lt;=94,"Low",IF(AND(O13&gt;94,O13&lt;=188),"Medium",IF(AND(O13&gt;188,O13&lt;=282),"High",IF(AND(O13&gt;282,O13&lt;=375),"Critical","Error"))))</f>
        <v>Low</v>
      </c>
      <c r="Q13" s="32" t="s">
        <v>714</v>
      </c>
      <c r="R13" s="30" t="str">
        <f t="shared" ref="R13" si="7">IF(O13&gt;94,"No","Yes")</f>
        <v>Yes</v>
      </c>
      <c r="S13" s="30" t="str">
        <f t="shared" ref="S13" si="8">IF(R13="Yes","Accept","Mitigate")</f>
        <v>Accept</v>
      </c>
      <c r="T13" s="27" t="s">
        <v>17</v>
      </c>
      <c r="U13" s="27" t="s">
        <v>241</v>
      </c>
      <c r="V13" s="27" t="s">
        <v>643</v>
      </c>
      <c r="W13" s="30" t="s">
        <v>241</v>
      </c>
      <c r="X13" s="30" t="s">
        <v>241</v>
      </c>
      <c r="Y13" s="30" t="s">
        <v>241</v>
      </c>
      <c r="Z13" s="30" t="s">
        <v>241</v>
      </c>
      <c r="AA13" s="30" t="s">
        <v>241</v>
      </c>
    </row>
    <row r="14" spans="1:27" ht="36" x14ac:dyDescent="0.15">
      <c r="A14" s="30">
        <v>8</v>
      </c>
      <c r="B14" s="30" t="s">
        <v>709</v>
      </c>
      <c r="C14" s="30" t="s">
        <v>443</v>
      </c>
      <c r="D14" s="147">
        <v>27</v>
      </c>
      <c r="E14" s="30" t="s">
        <v>239</v>
      </c>
      <c r="F14" s="30" t="s">
        <v>240</v>
      </c>
      <c r="G14" s="30">
        <v>2</v>
      </c>
      <c r="H14" s="30">
        <v>3</v>
      </c>
      <c r="I14" s="30">
        <v>4</v>
      </c>
      <c r="J14" s="30">
        <f t="shared" si="4"/>
        <v>9</v>
      </c>
      <c r="K14" s="30" t="s">
        <v>172</v>
      </c>
      <c r="L14" s="32" t="s">
        <v>182</v>
      </c>
      <c r="M14" s="30">
        <v>4</v>
      </c>
      <c r="N14" s="30">
        <v>1</v>
      </c>
      <c r="O14" s="30">
        <f t="shared" si="5"/>
        <v>36</v>
      </c>
      <c r="P14" s="31" t="str">
        <f t="shared" si="2"/>
        <v>Low</v>
      </c>
      <c r="Q14" s="32" t="s">
        <v>183</v>
      </c>
      <c r="R14" s="30" t="str">
        <f t="shared" si="0"/>
        <v>Yes</v>
      </c>
      <c r="S14" s="30" t="str">
        <f t="shared" si="1"/>
        <v>Accept</v>
      </c>
      <c r="T14" s="27" t="s">
        <v>17</v>
      </c>
      <c r="U14" s="27" t="s">
        <v>241</v>
      </c>
      <c r="V14" s="27" t="s">
        <v>643</v>
      </c>
      <c r="W14" s="30" t="s">
        <v>241</v>
      </c>
      <c r="X14" s="30" t="s">
        <v>241</v>
      </c>
      <c r="Y14" s="30" t="s">
        <v>241</v>
      </c>
      <c r="Z14" s="30" t="s">
        <v>241</v>
      </c>
      <c r="AA14" s="30" t="s">
        <v>241</v>
      </c>
    </row>
    <row r="15" spans="1:27" ht="36" x14ac:dyDescent="0.15">
      <c r="A15" s="30">
        <v>9</v>
      </c>
      <c r="B15" s="30" t="s">
        <v>709</v>
      </c>
      <c r="C15" s="30" t="s">
        <v>443</v>
      </c>
      <c r="D15" s="148"/>
      <c r="E15" s="30" t="s">
        <v>239</v>
      </c>
      <c r="F15" s="30" t="s">
        <v>240</v>
      </c>
      <c r="G15" s="30">
        <v>2</v>
      </c>
      <c r="H15" s="30">
        <v>3</v>
      </c>
      <c r="I15" s="30">
        <v>4</v>
      </c>
      <c r="J15" s="30">
        <f t="shared" si="4"/>
        <v>9</v>
      </c>
      <c r="K15" s="30" t="s">
        <v>172</v>
      </c>
      <c r="L15" s="32" t="s">
        <v>796</v>
      </c>
      <c r="M15" s="30">
        <v>4</v>
      </c>
      <c r="N15" s="30">
        <v>1</v>
      </c>
      <c r="O15" s="30">
        <f t="shared" si="5"/>
        <v>36</v>
      </c>
      <c r="P15" s="31" t="str">
        <f t="shared" si="2"/>
        <v>Low</v>
      </c>
      <c r="Q15" s="32" t="s">
        <v>714</v>
      </c>
      <c r="R15" s="30" t="str">
        <f t="shared" si="0"/>
        <v>Yes</v>
      </c>
      <c r="S15" s="30" t="str">
        <f t="shared" si="1"/>
        <v>Accept</v>
      </c>
      <c r="T15" s="27" t="s">
        <v>17</v>
      </c>
      <c r="U15" s="27" t="s">
        <v>241</v>
      </c>
      <c r="V15" s="27" t="s">
        <v>643</v>
      </c>
      <c r="W15" s="30" t="s">
        <v>241</v>
      </c>
      <c r="X15" s="30" t="s">
        <v>241</v>
      </c>
      <c r="Y15" s="30" t="s">
        <v>241</v>
      </c>
      <c r="Z15" s="30" t="s">
        <v>241</v>
      </c>
      <c r="AA15" s="30" t="s">
        <v>241</v>
      </c>
    </row>
    <row r="16" spans="1:27" ht="48" x14ac:dyDescent="0.15">
      <c r="A16" s="162">
        <v>10</v>
      </c>
      <c r="B16" s="30" t="s">
        <v>739</v>
      </c>
      <c r="C16" s="162" t="s">
        <v>166</v>
      </c>
      <c r="D16" s="147">
        <v>1</v>
      </c>
      <c r="E16" s="34" t="s">
        <v>239</v>
      </c>
      <c r="F16" s="34" t="s">
        <v>240</v>
      </c>
      <c r="G16" s="30">
        <v>5</v>
      </c>
      <c r="H16" s="30">
        <v>4</v>
      </c>
      <c r="I16" s="30">
        <v>5</v>
      </c>
      <c r="J16" s="30">
        <f t="shared" si="4"/>
        <v>14</v>
      </c>
      <c r="K16" s="30" t="s">
        <v>167</v>
      </c>
      <c r="L16" s="32" t="s">
        <v>184</v>
      </c>
      <c r="M16" s="30">
        <v>4</v>
      </c>
      <c r="N16" s="30">
        <v>1</v>
      </c>
      <c r="O16" s="30">
        <f t="shared" si="5"/>
        <v>56</v>
      </c>
      <c r="P16" s="31" t="str">
        <f t="shared" si="2"/>
        <v>Low</v>
      </c>
      <c r="Q16" s="32" t="s">
        <v>716</v>
      </c>
      <c r="R16" s="30" t="str">
        <f t="shared" si="0"/>
        <v>Yes</v>
      </c>
      <c r="S16" s="30" t="str">
        <f t="shared" si="1"/>
        <v>Accept</v>
      </c>
      <c r="T16" s="27" t="s">
        <v>17</v>
      </c>
      <c r="U16" s="27" t="s">
        <v>241</v>
      </c>
      <c r="V16" s="27" t="s">
        <v>718</v>
      </c>
      <c r="W16" s="30" t="s">
        <v>241</v>
      </c>
      <c r="X16" s="30" t="s">
        <v>241</v>
      </c>
      <c r="Y16" s="30" t="s">
        <v>241</v>
      </c>
      <c r="Z16" s="30" t="s">
        <v>241</v>
      </c>
      <c r="AA16" s="30" t="s">
        <v>241</v>
      </c>
    </row>
    <row r="17" spans="1:27" ht="48" x14ac:dyDescent="0.15">
      <c r="A17" s="162"/>
      <c r="B17" s="30" t="s">
        <v>739</v>
      </c>
      <c r="C17" s="162"/>
      <c r="D17" s="164"/>
      <c r="E17" s="34" t="s">
        <v>239</v>
      </c>
      <c r="F17" s="34" t="s">
        <v>240</v>
      </c>
      <c r="G17" s="30">
        <v>5</v>
      </c>
      <c r="H17" s="30">
        <v>4</v>
      </c>
      <c r="I17" s="30">
        <v>5</v>
      </c>
      <c r="J17" s="30">
        <f t="shared" si="4"/>
        <v>14</v>
      </c>
      <c r="K17" s="30" t="s">
        <v>185</v>
      </c>
      <c r="L17" s="32" t="s">
        <v>187</v>
      </c>
      <c r="M17" s="30">
        <v>4</v>
      </c>
      <c r="N17" s="30">
        <v>1</v>
      </c>
      <c r="O17" s="30">
        <f>J16*M17*N17</f>
        <v>56</v>
      </c>
      <c r="P17" s="31" t="str">
        <f t="shared" si="2"/>
        <v>Low</v>
      </c>
      <c r="Q17" s="32" t="s">
        <v>717</v>
      </c>
      <c r="R17" s="30" t="str">
        <f t="shared" si="0"/>
        <v>Yes</v>
      </c>
      <c r="S17" s="30" t="str">
        <f t="shared" si="1"/>
        <v>Accept</v>
      </c>
      <c r="T17" s="27" t="s">
        <v>17</v>
      </c>
      <c r="U17" s="27" t="s">
        <v>241</v>
      </c>
      <c r="V17" s="27" t="s">
        <v>718</v>
      </c>
      <c r="W17" s="30" t="s">
        <v>241</v>
      </c>
      <c r="X17" s="30" t="s">
        <v>241</v>
      </c>
      <c r="Y17" s="30" t="s">
        <v>241</v>
      </c>
      <c r="Z17" s="30" t="s">
        <v>241</v>
      </c>
      <c r="AA17" s="30" t="s">
        <v>241</v>
      </c>
    </row>
    <row r="18" spans="1:27" ht="48" x14ac:dyDescent="0.15">
      <c r="A18" s="162"/>
      <c r="B18" s="30" t="s">
        <v>739</v>
      </c>
      <c r="C18" s="162"/>
      <c r="D18" s="164"/>
      <c r="E18" s="34" t="s">
        <v>239</v>
      </c>
      <c r="F18" s="34" t="s">
        <v>240</v>
      </c>
      <c r="G18" s="30">
        <v>5</v>
      </c>
      <c r="H18" s="30">
        <v>4</v>
      </c>
      <c r="I18" s="30">
        <v>5</v>
      </c>
      <c r="J18" s="30">
        <f t="shared" si="4"/>
        <v>14</v>
      </c>
      <c r="K18" s="30" t="s">
        <v>185</v>
      </c>
      <c r="L18" s="32" t="s">
        <v>186</v>
      </c>
      <c r="M18" s="30">
        <v>4</v>
      </c>
      <c r="N18" s="30">
        <v>1</v>
      </c>
      <c r="O18" s="30">
        <f>J16*M18*N18</f>
        <v>56</v>
      </c>
      <c r="P18" s="31" t="str">
        <f t="shared" si="2"/>
        <v>Low</v>
      </c>
      <c r="Q18" s="32" t="s">
        <v>226</v>
      </c>
      <c r="R18" s="30"/>
      <c r="S18" s="30"/>
      <c r="T18" s="27" t="s">
        <v>17</v>
      </c>
      <c r="U18" s="27" t="s">
        <v>241</v>
      </c>
      <c r="V18" s="27" t="s">
        <v>718</v>
      </c>
      <c r="W18" s="30" t="s">
        <v>241</v>
      </c>
      <c r="X18" s="30" t="s">
        <v>241</v>
      </c>
      <c r="Y18" s="30" t="s">
        <v>241</v>
      </c>
      <c r="Z18" s="30" t="s">
        <v>241</v>
      </c>
      <c r="AA18" s="30" t="s">
        <v>241</v>
      </c>
    </row>
    <row r="19" spans="1:27" ht="48" x14ac:dyDescent="0.15">
      <c r="A19" s="162"/>
      <c r="B19" s="30" t="s">
        <v>739</v>
      </c>
      <c r="C19" s="162"/>
      <c r="D19" s="164"/>
      <c r="E19" s="34" t="s">
        <v>239</v>
      </c>
      <c r="F19" s="34" t="s">
        <v>240</v>
      </c>
      <c r="G19" s="30">
        <v>5</v>
      </c>
      <c r="H19" s="30">
        <v>4</v>
      </c>
      <c r="I19" s="30">
        <v>5</v>
      </c>
      <c r="J19" s="30">
        <f t="shared" si="4"/>
        <v>14</v>
      </c>
      <c r="K19" s="30" t="s">
        <v>185</v>
      </c>
      <c r="L19" s="32" t="s">
        <v>225</v>
      </c>
      <c r="M19" s="30">
        <v>4</v>
      </c>
      <c r="N19" s="30">
        <v>1</v>
      </c>
      <c r="O19" s="30">
        <f>J16*M19*N19</f>
        <v>56</v>
      </c>
      <c r="P19" s="31" t="str">
        <f t="shared" si="2"/>
        <v>Low</v>
      </c>
      <c r="Q19" s="32" t="s">
        <v>717</v>
      </c>
      <c r="R19" s="30" t="str">
        <f>IF(O19&gt;94,"No","Yes")</f>
        <v>Yes</v>
      </c>
      <c r="S19" s="30" t="str">
        <f t="shared" si="1"/>
        <v>Accept</v>
      </c>
      <c r="T19" s="27" t="s">
        <v>17</v>
      </c>
      <c r="U19" s="27" t="s">
        <v>241</v>
      </c>
      <c r="V19" s="27" t="s">
        <v>718</v>
      </c>
      <c r="W19" s="30" t="s">
        <v>241</v>
      </c>
      <c r="X19" s="30" t="s">
        <v>241</v>
      </c>
      <c r="Y19" s="30" t="s">
        <v>241</v>
      </c>
      <c r="Z19" s="30" t="s">
        <v>241</v>
      </c>
      <c r="AA19" s="30" t="s">
        <v>241</v>
      </c>
    </row>
    <row r="20" spans="1:27" ht="48" x14ac:dyDescent="0.15">
      <c r="A20" s="162"/>
      <c r="B20" s="30" t="s">
        <v>739</v>
      </c>
      <c r="C20" s="162"/>
      <c r="D20" s="164"/>
      <c r="E20" s="34" t="s">
        <v>239</v>
      </c>
      <c r="F20" s="34" t="s">
        <v>240</v>
      </c>
      <c r="G20" s="30">
        <v>5</v>
      </c>
      <c r="H20" s="30">
        <v>4</v>
      </c>
      <c r="I20" s="30">
        <v>5</v>
      </c>
      <c r="J20" s="30">
        <f t="shared" si="4"/>
        <v>14</v>
      </c>
      <c r="K20" s="30" t="s">
        <v>188</v>
      </c>
      <c r="L20" s="32" t="s">
        <v>189</v>
      </c>
      <c r="M20" s="30">
        <v>4</v>
      </c>
      <c r="N20" s="30">
        <v>1</v>
      </c>
      <c r="O20" s="30">
        <f>J16*M20*N20</f>
        <v>56</v>
      </c>
      <c r="P20" s="31" t="str">
        <f t="shared" si="2"/>
        <v>Low</v>
      </c>
      <c r="Q20" s="32" t="s">
        <v>195</v>
      </c>
      <c r="R20" s="30" t="str">
        <f>IF(O20&gt;94,"No","Yes")</f>
        <v>Yes</v>
      </c>
      <c r="S20" s="30" t="str">
        <f t="shared" si="1"/>
        <v>Accept</v>
      </c>
      <c r="T20" s="27" t="s">
        <v>17</v>
      </c>
      <c r="U20" s="27" t="s">
        <v>241</v>
      </c>
      <c r="V20" s="27" t="s">
        <v>718</v>
      </c>
      <c r="W20" s="30" t="s">
        <v>241</v>
      </c>
      <c r="X20" s="30" t="s">
        <v>241</v>
      </c>
      <c r="Y20" s="30" t="s">
        <v>241</v>
      </c>
      <c r="Z20" s="30" t="s">
        <v>241</v>
      </c>
      <c r="AA20" s="30" t="s">
        <v>241</v>
      </c>
    </row>
    <row r="21" spans="1:27" ht="48" x14ac:dyDescent="0.15">
      <c r="A21" s="162"/>
      <c r="B21" s="30" t="s">
        <v>739</v>
      </c>
      <c r="C21" s="162"/>
      <c r="D21" s="164"/>
      <c r="E21" s="34" t="s">
        <v>239</v>
      </c>
      <c r="F21" s="34" t="s">
        <v>240</v>
      </c>
      <c r="G21" s="30">
        <v>5</v>
      </c>
      <c r="H21" s="30">
        <v>4</v>
      </c>
      <c r="I21" s="30">
        <v>5</v>
      </c>
      <c r="J21" s="30">
        <f t="shared" si="4"/>
        <v>14</v>
      </c>
      <c r="K21" s="30" t="s">
        <v>188</v>
      </c>
      <c r="L21" s="32" t="s">
        <v>190</v>
      </c>
      <c r="M21" s="30">
        <v>4</v>
      </c>
      <c r="N21" s="30">
        <v>1</v>
      </c>
      <c r="O21" s="30">
        <f>J16*M21*N21</f>
        <v>56</v>
      </c>
      <c r="P21" s="31" t="str">
        <f t="shared" si="2"/>
        <v>Low</v>
      </c>
      <c r="Q21" s="32" t="s">
        <v>196</v>
      </c>
      <c r="R21" s="30" t="str">
        <f>IF(O21&gt;94,"No","Yes")</f>
        <v>Yes</v>
      </c>
      <c r="S21" s="30" t="str">
        <f t="shared" si="1"/>
        <v>Accept</v>
      </c>
      <c r="T21" s="27" t="s">
        <v>17</v>
      </c>
      <c r="U21" s="27" t="s">
        <v>241</v>
      </c>
      <c r="V21" s="27" t="s">
        <v>718</v>
      </c>
      <c r="W21" s="30" t="s">
        <v>241</v>
      </c>
      <c r="X21" s="30" t="s">
        <v>241</v>
      </c>
      <c r="Y21" s="30" t="s">
        <v>241</v>
      </c>
      <c r="Z21" s="30" t="s">
        <v>241</v>
      </c>
      <c r="AA21" s="30" t="s">
        <v>241</v>
      </c>
    </row>
    <row r="22" spans="1:27" ht="48" x14ac:dyDescent="0.15">
      <c r="A22" s="162"/>
      <c r="B22" s="30" t="s">
        <v>739</v>
      </c>
      <c r="C22" s="162"/>
      <c r="D22" s="164"/>
      <c r="E22" s="34" t="s">
        <v>239</v>
      </c>
      <c r="F22" s="34" t="s">
        <v>240</v>
      </c>
      <c r="G22" s="30">
        <v>5</v>
      </c>
      <c r="H22" s="30">
        <v>4</v>
      </c>
      <c r="I22" s="30">
        <v>5</v>
      </c>
      <c r="J22" s="30">
        <f t="shared" si="4"/>
        <v>14</v>
      </c>
      <c r="K22" s="30" t="s">
        <v>188</v>
      </c>
      <c r="L22" s="32" t="s">
        <v>191</v>
      </c>
      <c r="M22" s="30">
        <v>4</v>
      </c>
      <c r="N22" s="30">
        <v>1</v>
      </c>
      <c r="O22" s="30">
        <f>J16*M22*N22</f>
        <v>56</v>
      </c>
      <c r="P22" s="31" t="str">
        <f t="shared" si="2"/>
        <v>Low</v>
      </c>
      <c r="Q22" s="32" t="s">
        <v>197</v>
      </c>
      <c r="R22" s="30" t="str">
        <f>IF(O22&gt;94,"No","Yes")</f>
        <v>Yes</v>
      </c>
      <c r="S22" s="30" t="str">
        <f t="shared" si="1"/>
        <v>Accept</v>
      </c>
      <c r="T22" s="27" t="s">
        <v>17</v>
      </c>
      <c r="U22" s="27" t="s">
        <v>241</v>
      </c>
      <c r="V22" s="27" t="s">
        <v>718</v>
      </c>
      <c r="W22" s="30" t="s">
        <v>241</v>
      </c>
      <c r="X22" s="30" t="s">
        <v>241</v>
      </c>
      <c r="Y22" s="30" t="s">
        <v>241</v>
      </c>
      <c r="Z22" s="30" t="s">
        <v>241</v>
      </c>
      <c r="AA22" s="30" t="s">
        <v>241</v>
      </c>
    </row>
    <row r="23" spans="1:27" ht="48" x14ac:dyDescent="0.15">
      <c r="A23" s="162"/>
      <c r="B23" s="30" t="s">
        <v>739</v>
      </c>
      <c r="C23" s="162"/>
      <c r="D23" s="164"/>
      <c r="E23" s="34" t="s">
        <v>239</v>
      </c>
      <c r="F23" s="34" t="s">
        <v>240</v>
      </c>
      <c r="G23" s="30">
        <v>5</v>
      </c>
      <c r="H23" s="30">
        <v>4</v>
      </c>
      <c r="I23" s="30">
        <v>5</v>
      </c>
      <c r="J23" s="30">
        <f t="shared" si="4"/>
        <v>14</v>
      </c>
      <c r="K23" s="30" t="s">
        <v>188</v>
      </c>
      <c r="L23" s="32" t="s">
        <v>192</v>
      </c>
      <c r="M23" s="30">
        <v>4</v>
      </c>
      <c r="N23" s="30">
        <v>1</v>
      </c>
      <c r="O23" s="30">
        <f>J16*M23*N23</f>
        <v>56</v>
      </c>
      <c r="P23" s="31" t="str">
        <f t="shared" si="2"/>
        <v>Low</v>
      </c>
      <c r="Q23" s="32" t="s">
        <v>198</v>
      </c>
      <c r="R23" s="30" t="str">
        <f>IF(O23&gt;94,"No","Yes")</f>
        <v>Yes</v>
      </c>
      <c r="S23" s="30" t="str">
        <f t="shared" si="1"/>
        <v>Accept</v>
      </c>
      <c r="T23" s="27" t="s">
        <v>17</v>
      </c>
      <c r="U23" s="27" t="s">
        <v>241</v>
      </c>
      <c r="V23" s="27" t="s">
        <v>718</v>
      </c>
      <c r="W23" s="30" t="s">
        <v>241</v>
      </c>
      <c r="X23" s="30" t="s">
        <v>241</v>
      </c>
      <c r="Y23" s="30" t="s">
        <v>241</v>
      </c>
      <c r="Z23" s="30" t="s">
        <v>241</v>
      </c>
      <c r="AA23" s="30" t="s">
        <v>241</v>
      </c>
    </row>
    <row r="24" spans="1:27" ht="48" x14ac:dyDescent="0.15">
      <c r="A24" s="162"/>
      <c r="B24" s="30" t="s">
        <v>739</v>
      </c>
      <c r="C24" s="162"/>
      <c r="D24" s="148"/>
      <c r="E24" s="34" t="s">
        <v>239</v>
      </c>
      <c r="F24" s="34" t="s">
        <v>240</v>
      </c>
      <c r="G24" s="30">
        <v>5</v>
      </c>
      <c r="H24" s="30">
        <v>4</v>
      </c>
      <c r="I24" s="30">
        <v>5</v>
      </c>
      <c r="J24" s="30">
        <f t="shared" si="4"/>
        <v>14</v>
      </c>
      <c r="K24" s="30" t="s">
        <v>193</v>
      </c>
      <c r="L24" s="32" t="s">
        <v>194</v>
      </c>
      <c r="M24" s="30">
        <v>4</v>
      </c>
      <c r="N24" s="30">
        <v>1</v>
      </c>
      <c r="O24" s="30">
        <f>J16*M24*N24</f>
        <v>56</v>
      </c>
      <c r="P24" s="31" t="str">
        <f t="shared" si="2"/>
        <v>Low</v>
      </c>
      <c r="Q24" s="32" t="s">
        <v>196</v>
      </c>
      <c r="R24" s="30" t="str">
        <f t="shared" ref="R24:R30" si="9">IF(O24&gt;94,"No","Yes")</f>
        <v>Yes</v>
      </c>
      <c r="S24" s="30" t="str">
        <f t="shared" si="1"/>
        <v>Accept</v>
      </c>
      <c r="T24" s="27" t="s">
        <v>17</v>
      </c>
      <c r="U24" s="27" t="s">
        <v>241</v>
      </c>
      <c r="V24" s="27" t="s">
        <v>718</v>
      </c>
      <c r="W24" s="30" t="s">
        <v>241</v>
      </c>
      <c r="X24" s="30" t="s">
        <v>241</v>
      </c>
      <c r="Y24" s="30" t="s">
        <v>241</v>
      </c>
      <c r="Z24" s="30" t="s">
        <v>241</v>
      </c>
      <c r="AA24" s="30" t="s">
        <v>241</v>
      </c>
    </row>
    <row r="25" spans="1:27" ht="21" customHeight="1" x14ac:dyDescent="0.15">
      <c r="A25" s="162">
        <v>11</v>
      </c>
      <c r="B25" s="30" t="s">
        <v>740</v>
      </c>
      <c r="C25" s="162" t="s">
        <v>66</v>
      </c>
      <c r="D25" s="147">
        <v>1</v>
      </c>
      <c r="E25" s="34" t="s">
        <v>239</v>
      </c>
      <c r="F25" s="34" t="s">
        <v>240</v>
      </c>
      <c r="G25" s="30">
        <v>5</v>
      </c>
      <c r="H25" s="30">
        <v>3</v>
      </c>
      <c r="I25" s="30">
        <v>5</v>
      </c>
      <c r="J25" s="30">
        <f>G25+H25+I25</f>
        <v>13</v>
      </c>
      <c r="K25" s="30" t="s">
        <v>199</v>
      </c>
      <c r="L25" s="32" t="s">
        <v>189</v>
      </c>
      <c r="M25" s="30">
        <v>4</v>
      </c>
      <c r="N25" s="30">
        <v>1</v>
      </c>
      <c r="O25" s="30">
        <f>J25*M25*N25</f>
        <v>52</v>
      </c>
      <c r="P25" s="31" t="str">
        <f t="shared" si="2"/>
        <v>Low</v>
      </c>
      <c r="Q25" s="32" t="s">
        <v>195</v>
      </c>
      <c r="R25" s="30" t="str">
        <f t="shared" si="9"/>
        <v>Yes</v>
      </c>
      <c r="S25" s="30" t="str">
        <f t="shared" si="1"/>
        <v>Accept</v>
      </c>
      <c r="T25" s="27" t="s">
        <v>17</v>
      </c>
      <c r="U25" s="27" t="s">
        <v>241</v>
      </c>
      <c r="V25" s="27" t="s">
        <v>715</v>
      </c>
      <c r="W25" s="30" t="s">
        <v>241</v>
      </c>
      <c r="X25" s="30" t="s">
        <v>241</v>
      </c>
      <c r="Y25" s="30" t="s">
        <v>241</v>
      </c>
      <c r="Z25" s="30" t="s">
        <v>241</v>
      </c>
      <c r="AA25" s="30" t="s">
        <v>241</v>
      </c>
    </row>
    <row r="26" spans="1:27" ht="48" x14ac:dyDescent="0.15">
      <c r="A26" s="162"/>
      <c r="B26" s="30" t="s">
        <v>740</v>
      </c>
      <c r="C26" s="162"/>
      <c r="D26" s="164"/>
      <c r="E26" s="34" t="s">
        <v>239</v>
      </c>
      <c r="F26" s="34" t="s">
        <v>240</v>
      </c>
      <c r="G26" s="30">
        <v>5</v>
      </c>
      <c r="H26" s="30">
        <v>3</v>
      </c>
      <c r="I26" s="30">
        <v>5</v>
      </c>
      <c r="J26" s="30">
        <f t="shared" ref="J26:J30" si="10">G26+H26+I26</f>
        <v>13</v>
      </c>
      <c r="K26" s="30" t="s">
        <v>199</v>
      </c>
      <c r="L26" s="32" t="s">
        <v>200</v>
      </c>
      <c r="M26" s="30">
        <v>4</v>
      </c>
      <c r="N26" s="30">
        <v>1</v>
      </c>
      <c r="O26" s="30">
        <f>J25*M26*N26</f>
        <v>52</v>
      </c>
      <c r="P26" s="31" t="str">
        <f t="shared" si="2"/>
        <v>Low</v>
      </c>
      <c r="Q26" s="32" t="s">
        <v>204</v>
      </c>
      <c r="R26" s="30" t="str">
        <f t="shared" si="9"/>
        <v>Yes</v>
      </c>
      <c r="S26" s="30" t="str">
        <f t="shared" si="1"/>
        <v>Accept</v>
      </c>
      <c r="T26" s="27" t="s">
        <v>17</v>
      </c>
      <c r="U26" s="27" t="s">
        <v>241</v>
      </c>
      <c r="V26" s="27" t="s">
        <v>715</v>
      </c>
      <c r="W26" s="30" t="s">
        <v>241</v>
      </c>
      <c r="X26" s="30" t="s">
        <v>241</v>
      </c>
      <c r="Y26" s="30" t="s">
        <v>241</v>
      </c>
      <c r="Z26" s="30" t="s">
        <v>241</v>
      </c>
      <c r="AA26" s="30" t="s">
        <v>241</v>
      </c>
    </row>
    <row r="27" spans="1:27" ht="48" x14ac:dyDescent="0.15">
      <c r="A27" s="162"/>
      <c r="B27" s="30" t="s">
        <v>740</v>
      </c>
      <c r="C27" s="162"/>
      <c r="D27" s="164"/>
      <c r="E27" s="34" t="s">
        <v>239</v>
      </c>
      <c r="F27" s="34" t="s">
        <v>240</v>
      </c>
      <c r="G27" s="30">
        <v>5</v>
      </c>
      <c r="H27" s="30">
        <v>3</v>
      </c>
      <c r="I27" s="30">
        <v>5</v>
      </c>
      <c r="J27" s="30">
        <f t="shared" si="10"/>
        <v>13</v>
      </c>
      <c r="K27" s="30" t="s">
        <v>199</v>
      </c>
      <c r="L27" s="32" t="s">
        <v>201</v>
      </c>
      <c r="M27" s="30">
        <v>4</v>
      </c>
      <c r="N27" s="30">
        <v>1</v>
      </c>
      <c r="O27" s="30">
        <f>J25*M27*N27</f>
        <v>52</v>
      </c>
      <c r="P27" s="31" t="str">
        <f t="shared" si="2"/>
        <v>Low</v>
      </c>
      <c r="Q27" s="32" t="s">
        <v>197</v>
      </c>
      <c r="R27" s="30" t="str">
        <f t="shared" si="9"/>
        <v>Yes</v>
      </c>
      <c r="S27" s="30" t="str">
        <f t="shared" si="1"/>
        <v>Accept</v>
      </c>
      <c r="T27" s="27" t="s">
        <v>17</v>
      </c>
      <c r="U27" s="27" t="s">
        <v>241</v>
      </c>
      <c r="V27" s="27" t="s">
        <v>715</v>
      </c>
      <c r="W27" s="30" t="s">
        <v>241</v>
      </c>
      <c r="X27" s="30" t="s">
        <v>241</v>
      </c>
      <c r="Y27" s="30" t="s">
        <v>241</v>
      </c>
      <c r="Z27" s="30" t="s">
        <v>241</v>
      </c>
      <c r="AA27" s="30" t="s">
        <v>241</v>
      </c>
    </row>
    <row r="28" spans="1:27" ht="48" x14ac:dyDescent="0.15">
      <c r="A28" s="162"/>
      <c r="B28" s="30" t="s">
        <v>740</v>
      </c>
      <c r="C28" s="162"/>
      <c r="D28" s="164"/>
      <c r="E28" s="34" t="s">
        <v>239</v>
      </c>
      <c r="F28" s="34" t="s">
        <v>240</v>
      </c>
      <c r="G28" s="30">
        <v>5</v>
      </c>
      <c r="H28" s="30">
        <v>3</v>
      </c>
      <c r="I28" s="30">
        <v>5</v>
      </c>
      <c r="J28" s="30">
        <f t="shared" si="10"/>
        <v>13</v>
      </c>
      <c r="K28" s="30" t="s">
        <v>199</v>
      </c>
      <c r="L28" s="32" t="s">
        <v>192</v>
      </c>
      <c r="M28" s="30">
        <v>4</v>
      </c>
      <c r="N28" s="30">
        <v>1</v>
      </c>
      <c r="O28" s="30">
        <f>J25*M28*N28</f>
        <v>52</v>
      </c>
      <c r="P28" s="31" t="str">
        <f t="shared" si="2"/>
        <v>Low</v>
      </c>
      <c r="Q28" s="32" t="s">
        <v>205</v>
      </c>
      <c r="R28" s="30" t="str">
        <f t="shared" si="9"/>
        <v>Yes</v>
      </c>
      <c r="S28" s="30" t="str">
        <f t="shared" si="1"/>
        <v>Accept</v>
      </c>
      <c r="T28" s="27" t="s">
        <v>17</v>
      </c>
      <c r="U28" s="27" t="s">
        <v>241</v>
      </c>
      <c r="V28" s="27" t="s">
        <v>715</v>
      </c>
      <c r="W28" s="30" t="s">
        <v>241</v>
      </c>
      <c r="X28" s="30" t="s">
        <v>241</v>
      </c>
      <c r="Y28" s="30" t="s">
        <v>241</v>
      </c>
      <c r="Z28" s="30" t="s">
        <v>241</v>
      </c>
      <c r="AA28" s="30" t="s">
        <v>241</v>
      </c>
    </row>
    <row r="29" spans="1:27" ht="48" x14ac:dyDescent="0.15">
      <c r="A29" s="162"/>
      <c r="B29" s="30" t="s">
        <v>740</v>
      </c>
      <c r="C29" s="162"/>
      <c r="D29" s="164"/>
      <c r="E29" s="34" t="s">
        <v>239</v>
      </c>
      <c r="F29" s="34" t="s">
        <v>240</v>
      </c>
      <c r="G29" s="30">
        <v>5</v>
      </c>
      <c r="H29" s="30">
        <v>3</v>
      </c>
      <c r="I29" s="30">
        <v>5</v>
      </c>
      <c r="J29" s="30">
        <f t="shared" si="10"/>
        <v>13</v>
      </c>
      <c r="K29" s="30" t="s">
        <v>202</v>
      </c>
      <c r="L29" s="32" t="s">
        <v>203</v>
      </c>
      <c r="M29" s="30">
        <v>3</v>
      </c>
      <c r="N29" s="30">
        <v>2</v>
      </c>
      <c r="O29" s="30">
        <f>J25*M29*N29</f>
        <v>78</v>
      </c>
      <c r="P29" s="31" t="str">
        <f t="shared" si="2"/>
        <v>Low</v>
      </c>
      <c r="Q29" s="32"/>
      <c r="R29" s="30" t="str">
        <f t="shared" si="9"/>
        <v>Yes</v>
      </c>
      <c r="S29" s="30" t="str">
        <f t="shared" si="1"/>
        <v>Accept</v>
      </c>
      <c r="T29" s="27" t="s">
        <v>17</v>
      </c>
      <c r="U29" s="27" t="s">
        <v>241</v>
      </c>
      <c r="V29" s="27" t="s">
        <v>715</v>
      </c>
      <c r="W29" s="30" t="s">
        <v>241</v>
      </c>
      <c r="X29" s="30" t="s">
        <v>241</v>
      </c>
      <c r="Y29" s="30" t="s">
        <v>241</v>
      </c>
      <c r="Z29" s="30" t="s">
        <v>241</v>
      </c>
      <c r="AA29" s="30" t="s">
        <v>241</v>
      </c>
    </row>
    <row r="30" spans="1:27" ht="42" customHeight="1" x14ac:dyDescent="0.15">
      <c r="A30" s="162"/>
      <c r="B30" s="30" t="s">
        <v>740</v>
      </c>
      <c r="C30" s="162"/>
      <c r="D30" s="148"/>
      <c r="E30" s="34" t="s">
        <v>239</v>
      </c>
      <c r="F30" s="34" t="s">
        <v>240</v>
      </c>
      <c r="G30" s="30">
        <v>5</v>
      </c>
      <c r="H30" s="30">
        <v>3</v>
      </c>
      <c r="I30" s="30">
        <v>5</v>
      </c>
      <c r="J30" s="30">
        <f t="shared" si="10"/>
        <v>13</v>
      </c>
      <c r="K30" s="30" t="s">
        <v>202</v>
      </c>
      <c r="L30" s="38" t="s">
        <v>101</v>
      </c>
      <c r="M30" s="30">
        <v>4</v>
      </c>
      <c r="N30" s="30">
        <v>3</v>
      </c>
      <c r="O30" s="30">
        <f>J25*M30*N30</f>
        <v>156</v>
      </c>
      <c r="P30" s="31" t="str">
        <f t="shared" si="2"/>
        <v>Medium</v>
      </c>
      <c r="Q30" s="32"/>
      <c r="R30" s="30" t="str">
        <f t="shared" si="9"/>
        <v>No</v>
      </c>
      <c r="S30" s="30" t="str">
        <f t="shared" si="1"/>
        <v>Mitigate</v>
      </c>
      <c r="T30" s="30" t="s">
        <v>249</v>
      </c>
      <c r="U30" s="30" t="s">
        <v>247</v>
      </c>
      <c r="V30" s="27" t="s">
        <v>715</v>
      </c>
      <c r="W30" s="30">
        <v>4</v>
      </c>
      <c r="X30" s="30">
        <v>1</v>
      </c>
      <c r="Y30" s="30">
        <f>J25*W30*X30</f>
        <v>52</v>
      </c>
      <c r="Z30" s="30" t="str">
        <f>IF(Y30&lt;94,"No","Yes")</f>
        <v>No</v>
      </c>
      <c r="AA30" s="45" t="s">
        <v>17</v>
      </c>
    </row>
    <row r="31" spans="1:27" ht="31.5" customHeight="1" x14ac:dyDescent="0.15">
      <c r="A31" s="162">
        <v>12</v>
      </c>
      <c r="B31" s="30" t="s">
        <v>741</v>
      </c>
      <c r="C31" s="162" t="s">
        <v>66</v>
      </c>
      <c r="D31" s="147">
        <v>1</v>
      </c>
      <c r="E31" s="34" t="s">
        <v>239</v>
      </c>
      <c r="F31" s="34" t="s">
        <v>240</v>
      </c>
      <c r="G31" s="30">
        <v>4</v>
      </c>
      <c r="H31" s="30">
        <v>4</v>
      </c>
      <c r="I31" s="30">
        <v>4</v>
      </c>
      <c r="J31" s="30">
        <f>(I31+H31+G31)</f>
        <v>12</v>
      </c>
      <c r="K31" s="30" t="s">
        <v>206</v>
      </c>
      <c r="L31" s="38" t="s">
        <v>207</v>
      </c>
      <c r="M31" s="30">
        <v>4</v>
      </c>
      <c r="N31" s="30">
        <v>1</v>
      </c>
      <c r="O31" s="30">
        <f>J31*M31*N31</f>
        <v>48</v>
      </c>
      <c r="P31" s="31" t="str">
        <f t="shared" si="2"/>
        <v>Low</v>
      </c>
      <c r="Q31" s="32" t="s">
        <v>719</v>
      </c>
      <c r="R31" s="30" t="str">
        <f t="shared" ref="R31:R41" si="11">IF(O31&gt;94,"No","Yes")</f>
        <v>Yes</v>
      </c>
      <c r="S31" s="30" t="str">
        <f t="shared" ref="S31:S41" si="12">IF(R31="Yes","Accept","Mitigate")</f>
        <v>Accept</v>
      </c>
      <c r="T31" s="27" t="s">
        <v>17</v>
      </c>
      <c r="U31" s="27" t="s">
        <v>241</v>
      </c>
      <c r="V31" s="27" t="s">
        <v>715</v>
      </c>
      <c r="W31" s="30" t="s">
        <v>241</v>
      </c>
      <c r="X31" s="30" t="s">
        <v>241</v>
      </c>
      <c r="Y31" s="30" t="s">
        <v>241</v>
      </c>
      <c r="Z31" s="30" t="s">
        <v>241</v>
      </c>
      <c r="AA31" s="30" t="s">
        <v>241</v>
      </c>
    </row>
    <row r="32" spans="1:27" ht="21" customHeight="1" x14ac:dyDescent="0.15">
      <c r="A32" s="162"/>
      <c r="B32" s="30" t="s">
        <v>741</v>
      </c>
      <c r="C32" s="162"/>
      <c r="D32" s="164"/>
      <c r="E32" s="57"/>
      <c r="F32" s="34" t="s">
        <v>240</v>
      </c>
      <c r="G32" s="30">
        <v>4</v>
      </c>
      <c r="H32" s="30">
        <v>4</v>
      </c>
      <c r="I32" s="30">
        <v>4</v>
      </c>
      <c r="J32" s="30">
        <f>(I32+H32+G32)</f>
        <v>12</v>
      </c>
      <c r="K32" s="30" t="s">
        <v>206</v>
      </c>
      <c r="L32" s="38" t="s">
        <v>209</v>
      </c>
      <c r="M32" s="30">
        <v>4</v>
      </c>
      <c r="N32" s="30">
        <v>2</v>
      </c>
      <c r="O32" s="30">
        <f>J31*M32*N32</f>
        <v>96</v>
      </c>
      <c r="P32" s="31" t="str">
        <f t="shared" si="2"/>
        <v>Medium</v>
      </c>
      <c r="Q32" s="32"/>
      <c r="R32" s="30"/>
      <c r="S32" s="30"/>
      <c r="T32" s="27"/>
      <c r="U32" s="27"/>
      <c r="V32" s="27" t="s">
        <v>715</v>
      </c>
      <c r="W32" s="30" t="s">
        <v>241</v>
      </c>
      <c r="X32" s="30" t="s">
        <v>241</v>
      </c>
      <c r="Y32" s="30" t="s">
        <v>241</v>
      </c>
      <c r="Z32" s="30" t="s">
        <v>241</v>
      </c>
      <c r="AA32" s="30" t="s">
        <v>241</v>
      </c>
    </row>
    <row r="33" spans="1:27" ht="48" x14ac:dyDescent="0.15">
      <c r="A33" s="162"/>
      <c r="B33" s="30" t="s">
        <v>741</v>
      </c>
      <c r="C33" s="162"/>
      <c r="D33" s="164"/>
      <c r="E33" s="34" t="s">
        <v>239</v>
      </c>
      <c r="F33" s="34" t="s">
        <v>240</v>
      </c>
      <c r="G33" s="30">
        <v>4</v>
      </c>
      <c r="H33" s="30">
        <v>4</v>
      </c>
      <c r="I33" s="30">
        <v>4</v>
      </c>
      <c r="J33" s="30">
        <f>(I33+H33+G33)</f>
        <v>12</v>
      </c>
      <c r="K33" s="30" t="s">
        <v>206</v>
      </c>
      <c r="L33" s="38" t="s">
        <v>208</v>
      </c>
      <c r="M33" s="30">
        <v>4</v>
      </c>
      <c r="N33" s="30">
        <v>1</v>
      </c>
      <c r="O33" s="30">
        <f>J31*M33*N33</f>
        <v>48</v>
      </c>
      <c r="P33" s="31" t="str">
        <f t="shared" si="2"/>
        <v>Low</v>
      </c>
      <c r="Q33" s="32" t="s">
        <v>197</v>
      </c>
      <c r="R33" s="30" t="str">
        <f t="shared" si="11"/>
        <v>Yes</v>
      </c>
      <c r="S33" s="30" t="str">
        <f t="shared" si="12"/>
        <v>Accept</v>
      </c>
      <c r="T33" s="27" t="s">
        <v>17</v>
      </c>
      <c r="U33" s="27" t="s">
        <v>241</v>
      </c>
      <c r="V33" s="27" t="s">
        <v>715</v>
      </c>
      <c r="W33" s="30" t="s">
        <v>241</v>
      </c>
      <c r="X33" s="30" t="s">
        <v>241</v>
      </c>
      <c r="Y33" s="30" t="s">
        <v>241</v>
      </c>
      <c r="Z33" s="30" t="s">
        <v>241</v>
      </c>
      <c r="AA33" s="30" t="s">
        <v>241</v>
      </c>
    </row>
    <row r="34" spans="1:27" ht="21" customHeight="1" x14ac:dyDescent="0.15">
      <c r="A34" s="162"/>
      <c r="B34" s="30" t="s">
        <v>741</v>
      </c>
      <c r="C34" s="162"/>
      <c r="D34" s="164"/>
      <c r="E34" s="34" t="s">
        <v>239</v>
      </c>
      <c r="F34" s="34" t="s">
        <v>240</v>
      </c>
      <c r="G34" s="30">
        <v>4</v>
      </c>
      <c r="H34" s="30">
        <v>4</v>
      </c>
      <c r="I34" s="30">
        <v>4</v>
      </c>
      <c r="J34" s="30">
        <f>(I34+H34+G34)</f>
        <v>12</v>
      </c>
      <c r="K34" s="30" t="s">
        <v>210</v>
      </c>
      <c r="L34" s="38" t="s">
        <v>101</v>
      </c>
      <c r="M34" s="30">
        <v>4</v>
      </c>
      <c r="N34" s="30">
        <v>3</v>
      </c>
      <c r="O34" s="30">
        <f>J31*M34*N34</f>
        <v>144</v>
      </c>
      <c r="P34" s="31" t="str">
        <f t="shared" si="2"/>
        <v>Medium</v>
      </c>
      <c r="Q34" s="32"/>
      <c r="R34" s="30" t="str">
        <f t="shared" si="11"/>
        <v>No</v>
      </c>
      <c r="S34" s="30" t="str">
        <f t="shared" si="12"/>
        <v>Mitigate</v>
      </c>
      <c r="T34" s="30"/>
      <c r="U34" s="30" t="s">
        <v>44</v>
      </c>
      <c r="V34" s="27" t="s">
        <v>715</v>
      </c>
      <c r="W34" s="30">
        <v>4</v>
      </c>
      <c r="X34" s="30">
        <v>1</v>
      </c>
      <c r="Y34" s="46">
        <f>J31*W34*X34</f>
        <v>48</v>
      </c>
      <c r="Z34" s="30" t="str">
        <f>IF(Y34&lt;94,"No","Yes")</f>
        <v>No</v>
      </c>
      <c r="AA34" s="45" t="s">
        <v>17</v>
      </c>
    </row>
    <row r="35" spans="1:27" ht="48" x14ac:dyDescent="0.15">
      <c r="A35" s="162"/>
      <c r="B35" s="30" t="s">
        <v>741</v>
      </c>
      <c r="C35" s="162"/>
      <c r="D35" s="164"/>
      <c r="E35" s="34" t="s">
        <v>239</v>
      </c>
      <c r="F35" s="34" t="s">
        <v>240</v>
      </c>
      <c r="G35" s="30">
        <v>4</v>
      </c>
      <c r="H35" s="30">
        <v>4</v>
      </c>
      <c r="I35" s="30">
        <v>4</v>
      </c>
      <c r="J35" s="30">
        <f t="shared" ref="J35:J36" si="13">(I35+H35+G35)</f>
        <v>12</v>
      </c>
      <c r="K35" s="30" t="s">
        <v>210</v>
      </c>
      <c r="L35" s="38" t="s">
        <v>211</v>
      </c>
      <c r="M35" s="30">
        <v>4</v>
      </c>
      <c r="N35" s="30">
        <v>1</v>
      </c>
      <c r="O35" s="30">
        <f>J31*M35*N35</f>
        <v>48</v>
      </c>
      <c r="P35" s="31" t="str">
        <f t="shared" si="2"/>
        <v>Low</v>
      </c>
      <c r="Q35" s="32" t="s">
        <v>212</v>
      </c>
      <c r="R35" s="30" t="str">
        <f t="shared" si="11"/>
        <v>Yes</v>
      </c>
      <c r="S35" s="30" t="str">
        <f t="shared" si="12"/>
        <v>Accept</v>
      </c>
      <c r="T35" s="27" t="s">
        <v>17</v>
      </c>
      <c r="U35" s="27" t="s">
        <v>241</v>
      </c>
      <c r="V35" s="27" t="s">
        <v>715</v>
      </c>
      <c r="W35" s="30" t="s">
        <v>241</v>
      </c>
      <c r="X35" s="30" t="s">
        <v>241</v>
      </c>
      <c r="Y35" s="30" t="s">
        <v>241</v>
      </c>
      <c r="Z35" s="30" t="s">
        <v>241</v>
      </c>
      <c r="AA35" s="30" t="s">
        <v>241</v>
      </c>
    </row>
    <row r="36" spans="1:27" ht="48" x14ac:dyDescent="0.15">
      <c r="A36" s="162"/>
      <c r="B36" s="30" t="s">
        <v>741</v>
      </c>
      <c r="C36" s="162"/>
      <c r="D36" s="148"/>
      <c r="E36" s="34" t="s">
        <v>239</v>
      </c>
      <c r="F36" s="34" t="s">
        <v>240</v>
      </c>
      <c r="G36" s="30">
        <v>4</v>
      </c>
      <c r="H36" s="30">
        <v>4</v>
      </c>
      <c r="I36" s="30">
        <v>4</v>
      </c>
      <c r="J36" s="30">
        <f t="shared" si="13"/>
        <v>12</v>
      </c>
      <c r="K36" s="30" t="s">
        <v>223</v>
      </c>
      <c r="L36" s="38" t="s">
        <v>220</v>
      </c>
      <c r="M36" s="30">
        <v>4</v>
      </c>
      <c r="N36" s="30">
        <v>1</v>
      </c>
      <c r="O36" s="30">
        <f>J31*M36*N36</f>
        <v>48</v>
      </c>
      <c r="P36" s="31" t="str">
        <f t="shared" si="2"/>
        <v>Low</v>
      </c>
      <c r="Q36" s="32" t="s">
        <v>224</v>
      </c>
      <c r="R36" s="30" t="str">
        <f>IF(O36&gt;94,"No","Yes")</f>
        <v>Yes</v>
      </c>
      <c r="S36" s="30" t="str">
        <f t="shared" si="12"/>
        <v>Accept</v>
      </c>
      <c r="T36" s="27" t="s">
        <v>17</v>
      </c>
      <c r="U36" s="27" t="s">
        <v>241</v>
      </c>
      <c r="V36" s="27" t="s">
        <v>715</v>
      </c>
      <c r="W36" s="30" t="s">
        <v>241</v>
      </c>
      <c r="X36" s="30" t="s">
        <v>241</v>
      </c>
      <c r="Y36" s="30" t="s">
        <v>241</v>
      </c>
      <c r="Z36" s="30" t="s">
        <v>241</v>
      </c>
      <c r="AA36" s="30" t="s">
        <v>241</v>
      </c>
    </row>
    <row r="37" spans="1:27" ht="45" customHeight="1" x14ac:dyDescent="0.15">
      <c r="A37" s="30">
        <v>13</v>
      </c>
      <c r="B37" s="30" t="s">
        <v>72</v>
      </c>
      <c r="C37" s="30" t="s">
        <v>66</v>
      </c>
      <c r="D37" s="30" t="s">
        <v>241</v>
      </c>
      <c r="E37" s="30" t="s">
        <v>239</v>
      </c>
      <c r="F37" s="30" t="s">
        <v>240</v>
      </c>
      <c r="G37" s="30">
        <v>2</v>
      </c>
      <c r="H37" s="30">
        <v>4</v>
      </c>
      <c r="I37" s="30">
        <v>4</v>
      </c>
      <c r="J37" s="30">
        <f t="shared" ref="J37:J44" si="14">(I37+H37+G37)</f>
        <v>10</v>
      </c>
      <c r="K37" s="30" t="s">
        <v>213</v>
      </c>
      <c r="L37" s="38" t="s">
        <v>214</v>
      </c>
      <c r="M37" s="30">
        <v>4</v>
      </c>
      <c r="N37" s="30">
        <v>1</v>
      </c>
      <c r="O37" s="30">
        <f>J37*M37*N37</f>
        <v>40</v>
      </c>
      <c r="P37" s="31" t="str">
        <f t="shared" si="2"/>
        <v>Low</v>
      </c>
      <c r="Q37" s="32" t="s">
        <v>215</v>
      </c>
      <c r="R37" s="30" t="str">
        <f t="shared" si="11"/>
        <v>Yes</v>
      </c>
      <c r="S37" s="30" t="str">
        <f t="shared" si="12"/>
        <v>Accept</v>
      </c>
      <c r="T37" s="27" t="s">
        <v>17</v>
      </c>
      <c r="U37" s="27" t="s">
        <v>241</v>
      </c>
      <c r="V37" s="27" t="s">
        <v>643</v>
      </c>
      <c r="W37" s="30" t="s">
        <v>241</v>
      </c>
      <c r="X37" s="30" t="s">
        <v>241</v>
      </c>
      <c r="Y37" s="30" t="s">
        <v>241</v>
      </c>
      <c r="Z37" s="30" t="s">
        <v>241</v>
      </c>
      <c r="AA37" s="30" t="s">
        <v>241</v>
      </c>
    </row>
    <row r="38" spans="1:27" ht="24" x14ac:dyDescent="0.15">
      <c r="A38" s="30">
        <v>14</v>
      </c>
      <c r="B38" s="30" t="s">
        <v>216</v>
      </c>
      <c r="C38" s="30" t="s">
        <v>110</v>
      </c>
      <c r="D38" s="30">
        <v>1</v>
      </c>
      <c r="E38" s="30" t="s">
        <v>239</v>
      </c>
      <c r="F38" s="30" t="s">
        <v>240</v>
      </c>
      <c r="G38" s="30">
        <v>2</v>
      </c>
      <c r="H38" s="30">
        <v>3</v>
      </c>
      <c r="I38" s="30">
        <v>5</v>
      </c>
      <c r="J38" s="30">
        <f t="shared" si="14"/>
        <v>10</v>
      </c>
      <c r="K38" s="30" t="s">
        <v>217</v>
      </c>
      <c r="L38" s="38" t="s">
        <v>218</v>
      </c>
      <c r="M38" s="30">
        <v>4</v>
      </c>
      <c r="N38" s="30">
        <v>1</v>
      </c>
      <c r="O38" s="30">
        <f>J38*M38*N38</f>
        <v>40</v>
      </c>
      <c r="P38" s="31" t="str">
        <f t="shared" si="2"/>
        <v>Low</v>
      </c>
      <c r="Q38" s="32" t="s">
        <v>195</v>
      </c>
      <c r="R38" s="30" t="str">
        <f t="shared" si="11"/>
        <v>Yes</v>
      </c>
      <c r="S38" s="30" t="str">
        <f t="shared" si="12"/>
        <v>Accept</v>
      </c>
      <c r="T38" s="27" t="s">
        <v>17</v>
      </c>
      <c r="U38" s="27" t="s">
        <v>241</v>
      </c>
      <c r="V38" s="27" t="s">
        <v>715</v>
      </c>
      <c r="W38" s="30" t="s">
        <v>241</v>
      </c>
      <c r="X38" s="30" t="s">
        <v>241</v>
      </c>
      <c r="Y38" s="30" t="s">
        <v>241</v>
      </c>
      <c r="Z38" s="30" t="s">
        <v>241</v>
      </c>
      <c r="AA38" s="30" t="s">
        <v>241</v>
      </c>
    </row>
    <row r="39" spans="1:27" ht="60" x14ac:dyDescent="0.15">
      <c r="A39" s="30">
        <v>15</v>
      </c>
      <c r="B39" s="30" t="s">
        <v>742</v>
      </c>
      <c r="C39" s="30" t="s">
        <v>110</v>
      </c>
      <c r="D39" s="30">
        <v>1</v>
      </c>
      <c r="E39" s="30" t="s">
        <v>239</v>
      </c>
      <c r="F39" s="30" t="s">
        <v>240</v>
      </c>
      <c r="G39" s="30">
        <v>2</v>
      </c>
      <c r="H39" s="30">
        <v>4</v>
      </c>
      <c r="I39" s="30">
        <v>4</v>
      </c>
      <c r="J39" s="30">
        <f t="shared" si="14"/>
        <v>10</v>
      </c>
      <c r="K39" s="30" t="s">
        <v>217</v>
      </c>
      <c r="L39" s="38" t="s">
        <v>218</v>
      </c>
      <c r="M39" s="30">
        <v>4</v>
      </c>
      <c r="N39" s="30">
        <v>1</v>
      </c>
      <c r="O39" s="30">
        <f>J39*M39*N39</f>
        <v>40</v>
      </c>
      <c r="P39" s="31" t="str">
        <f t="shared" si="2"/>
        <v>Low</v>
      </c>
      <c r="Q39" s="32" t="s">
        <v>219</v>
      </c>
      <c r="R39" s="30" t="str">
        <f t="shared" si="11"/>
        <v>Yes</v>
      </c>
      <c r="S39" s="30" t="str">
        <f t="shared" si="12"/>
        <v>Accept</v>
      </c>
      <c r="T39" s="27" t="s">
        <v>17</v>
      </c>
      <c r="U39" s="27" t="s">
        <v>241</v>
      </c>
      <c r="V39" s="27" t="s">
        <v>715</v>
      </c>
      <c r="W39" s="30" t="s">
        <v>241</v>
      </c>
      <c r="X39" s="30" t="s">
        <v>241</v>
      </c>
      <c r="Y39" s="30" t="s">
        <v>241</v>
      </c>
      <c r="Z39" s="30" t="s">
        <v>241</v>
      </c>
      <c r="AA39" s="30" t="s">
        <v>241</v>
      </c>
    </row>
    <row r="40" spans="1:27" ht="48" x14ac:dyDescent="0.15">
      <c r="A40" s="30">
        <v>16</v>
      </c>
      <c r="B40" s="30" t="s">
        <v>743</v>
      </c>
      <c r="C40" s="30" t="s">
        <v>66</v>
      </c>
      <c r="D40" s="30">
        <v>1</v>
      </c>
      <c r="E40" s="30" t="s">
        <v>239</v>
      </c>
      <c r="F40" s="30" t="s">
        <v>240</v>
      </c>
      <c r="G40" s="30">
        <v>2</v>
      </c>
      <c r="H40" s="30">
        <v>3</v>
      </c>
      <c r="I40" s="30">
        <v>5</v>
      </c>
      <c r="J40" s="30">
        <f t="shared" si="14"/>
        <v>10</v>
      </c>
      <c r="K40" s="30" t="s">
        <v>172</v>
      </c>
      <c r="L40" s="38" t="s">
        <v>220</v>
      </c>
      <c r="M40" s="30">
        <v>4</v>
      </c>
      <c r="N40" s="30">
        <v>1</v>
      </c>
      <c r="O40" s="30">
        <f>J40*M40*N40</f>
        <v>40</v>
      </c>
      <c r="P40" s="31" t="str">
        <f t="shared" si="2"/>
        <v>Low</v>
      </c>
      <c r="Q40" s="32" t="s">
        <v>221</v>
      </c>
      <c r="R40" s="30" t="str">
        <f t="shared" si="11"/>
        <v>Yes</v>
      </c>
      <c r="S40" s="30" t="str">
        <f t="shared" si="12"/>
        <v>Accept</v>
      </c>
      <c r="T40" s="27" t="s">
        <v>17</v>
      </c>
      <c r="U40" s="27" t="s">
        <v>241</v>
      </c>
      <c r="V40" s="27" t="s">
        <v>715</v>
      </c>
      <c r="W40" s="30" t="s">
        <v>241</v>
      </c>
      <c r="X40" s="30" t="s">
        <v>241</v>
      </c>
      <c r="Y40" s="30" t="s">
        <v>241</v>
      </c>
      <c r="Z40" s="30" t="s">
        <v>241</v>
      </c>
      <c r="AA40" s="30" t="s">
        <v>241</v>
      </c>
    </row>
    <row r="41" spans="1:27" ht="48" x14ac:dyDescent="0.15">
      <c r="A41" s="30">
        <v>17</v>
      </c>
      <c r="B41" s="30" t="s">
        <v>744</v>
      </c>
      <c r="C41" s="30" t="s">
        <v>66</v>
      </c>
      <c r="D41" s="30">
        <v>1</v>
      </c>
      <c r="E41" s="30" t="s">
        <v>239</v>
      </c>
      <c r="F41" s="30" t="s">
        <v>240</v>
      </c>
      <c r="G41" s="30">
        <v>2</v>
      </c>
      <c r="H41" s="30">
        <v>3</v>
      </c>
      <c r="I41" s="30">
        <v>5</v>
      </c>
      <c r="J41" s="30">
        <f t="shared" si="14"/>
        <v>10</v>
      </c>
      <c r="K41" s="30" t="s">
        <v>172</v>
      </c>
      <c r="L41" s="38" t="s">
        <v>220</v>
      </c>
      <c r="M41" s="30">
        <v>4</v>
      </c>
      <c r="N41" s="30">
        <v>1</v>
      </c>
      <c r="O41" s="30">
        <f>J40*M41*N41</f>
        <v>40</v>
      </c>
      <c r="P41" s="31" t="str">
        <f t="shared" si="2"/>
        <v>Low</v>
      </c>
      <c r="Q41" s="32" t="s">
        <v>720</v>
      </c>
      <c r="R41" s="30" t="str">
        <f t="shared" si="11"/>
        <v>Yes</v>
      </c>
      <c r="S41" s="30" t="str">
        <f t="shared" si="12"/>
        <v>Accept</v>
      </c>
      <c r="T41" s="27" t="s">
        <v>17</v>
      </c>
      <c r="U41" s="27" t="s">
        <v>241</v>
      </c>
      <c r="V41" s="27" t="s">
        <v>715</v>
      </c>
      <c r="W41" s="30" t="s">
        <v>241</v>
      </c>
      <c r="X41" s="30" t="s">
        <v>241</v>
      </c>
      <c r="Y41" s="30" t="s">
        <v>241</v>
      </c>
      <c r="Z41" s="30" t="s">
        <v>241</v>
      </c>
      <c r="AA41" s="30" t="s">
        <v>241</v>
      </c>
    </row>
    <row r="42" spans="1:27" ht="24" x14ac:dyDescent="0.15">
      <c r="A42" s="30">
        <v>18</v>
      </c>
      <c r="B42" s="30" t="s">
        <v>745</v>
      </c>
      <c r="C42" s="30" t="s">
        <v>171</v>
      </c>
      <c r="D42" s="30">
        <v>5</v>
      </c>
      <c r="E42" s="30" t="s">
        <v>239</v>
      </c>
      <c r="F42" s="30" t="s">
        <v>240</v>
      </c>
      <c r="G42" s="30">
        <v>2</v>
      </c>
      <c r="H42" s="30">
        <v>3</v>
      </c>
      <c r="I42" s="30">
        <v>5</v>
      </c>
      <c r="J42" s="30">
        <f t="shared" si="14"/>
        <v>10</v>
      </c>
      <c r="K42" s="30" t="s">
        <v>172</v>
      </c>
      <c r="L42" s="38" t="s">
        <v>220</v>
      </c>
      <c r="M42" s="30">
        <v>4</v>
      </c>
      <c r="N42" s="30">
        <v>1</v>
      </c>
      <c r="O42" s="30">
        <f>J41*M42*N42</f>
        <v>40</v>
      </c>
      <c r="P42" s="31" t="str">
        <f t="shared" si="2"/>
        <v>Low</v>
      </c>
      <c r="Q42" s="32" t="s">
        <v>720</v>
      </c>
      <c r="R42" s="30" t="str">
        <f>IF(O42&gt;94,"No","Yes")</f>
        <v>Yes</v>
      </c>
      <c r="S42" s="30" t="str">
        <f>IF(R42="Yes","Accept","Mitigate")</f>
        <v>Accept</v>
      </c>
      <c r="T42" s="27" t="s">
        <v>17</v>
      </c>
      <c r="U42" s="27" t="s">
        <v>241</v>
      </c>
      <c r="V42" s="27" t="s">
        <v>715</v>
      </c>
      <c r="W42" s="30" t="s">
        <v>241</v>
      </c>
      <c r="X42" s="30" t="s">
        <v>241</v>
      </c>
      <c r="Y42" s="30" t="s">
        <v>241</v>
      </c>
      <c r="Z42" s="30" t="s">
        <v>241</v>
      </c>
      <c r="AA42" s="30" t="s">
        <v>241</v>
      </c>
    </row>
    <row r="43" spans="1:27" ht="36" x14ac:dyDescent="0.15">
      <c r="A43" s="30">
        <v>19</v>
      </c>
      <c r="B43" s="30" t="s">
        <v>746</v>
      </c>
      <c r="C43" s="30" t="s">
        <v>166</v>
      </c>
      <c r="D43" s="30" t="s">
        <v>315</v>
      </c>
      <c r="E43" s="30" t="s">
        <v>239</v>
      </c>
      <c r="F43" s="30" t="s">
        <v>240</v>
      </c>
      <c r="G43" s="30">
        <v>2</v>
      </c>
      <c r="H43" s="30">
        <v>3</v>
      </c>
      <c r="I43" s="30">
        <v>5</v>
      </c>
      <c r="J43" s="30">
        <f t="shared" si="14"/>
        <v>10</v>
      </c>
      <c r="K43" s="30" t="s">
        <v>172</v>
      </c>
      <c r="L43" s="38" t="s">
        <v>220</v>
      </c>
      <c r="M43" s="30">
        <v>4</v>
      </c>
      <c r="N43" s="30">
        <v>1</v>
      </c>
      <c r="O43" s="30">
        <f>J42*M43*N43</f>
        <v>40</v>
      </c>
      <c r="P43" s="31" t="str">
        <f t="shared" si="2"/>
        <v>Low</v>
      </c>
      <c r="Q43" s="32" t="s">
        <v>720</v>
      </c>
      <c r="R43" s="30" t="str">
        <f>IF(O43&gt;94,"No","Yes")</f>
        <v>Yes</v>
      </c>
      <c r="S43" s="30" t="str">
        <f>IF(R43="Yes","Accept","Mitigate")</f>
        <v>Accept</v>
      </c>
      <c r="T43" s="27" t="s">
        <v>17</v>
      </c>
      <c r="U43" s="27" t="s">
        <v>241</v>
      </c>
      <c r="V43" s="27" t="s">
        <v>715</v>
      </c>
      <c r="W43" s="30" t="s">
        <v>241</v>
      </c>
      <c r="X43" s="30" t="s">
        <v>241</v>
      </c>
      <c r="Y43" s="30" t="s">
        <v>241</v>
      </c>
      <c r="Z43" s="30" t="s">
        <v>241</v>
      </c>
      <c r="AA43" s="30" t="s">
        <v>241</v>
      </c>
    </row>
    <row r="44" spans="1:27" ht="24" x14ac:dyDescent="0.15">
      <c r="A44" s="30">
        <v>20</v>
      </c>
      <c r="B44" s="30" t="s">
        <v>747</v>
      </c>
      <c r="C44" s="30" t="s">
        <v>171</v>
      </c>
      <c r="D44" s="30">
        <v>4</v>
      </c>
      <c r="E44" s="30" t="s">
        <v>239</v>
      </c>
      <c r="F44" s="30" t="s">
        <v>240</v>
      </c>
      <c r="G44" s="30">
        <v>2</v>
      </c>
      <c r="H44" s="30">
        <v>3</v>
      </c>
      <c r="I44" s="30">
        <v>5</v>
      </c>
      <c r="J44" s="30">
        <f t="shared" si="14"/>
        <v>10</v>
      </c>
      <c r="K44" s="30" t="s">
        <v>172</v>
      </c>
      <c r="L44" s="38" t="s">
        <v>220</v>
      </c>
      <c r="M44" s="30">
        <v>4</v>
      </c>
      <c r="N44" s="30">
        <v>1</v>
      </c>
      <c r="O44" s="30">
        <f>J43*M44*N44</f>
        <v>40</v>
      </c>
      <c r="P44" s="31" t="str">
        <f t="shared" si="2"/>
        <v>Low</v>
      </c>
      <c r="Q44" s="32" t="s">
        <v>720</v>
      </c>
      <c r="R44" s="30" t="str">
        <f>IF(O44&gt;94,"No","Yes")</f>
        <v>Yes</v>
      </c>
      <c r="S44" s="30" t="str">
        <f>IF(R44="Yes","Accept","Mitigate")</f>
        <v>Accept</v>
      </c>
      <c r="T44" s="27" t="s">
        <v>17</v>
      </c>
      <c r="U44" s="27" t="s">
        <v>241</v>
      </c>
      <c r="V44" s="27" t="s">
        <v>715</v>
      </c>
      <c r="W44" s="30" t="s">
        <v>241</v>
      </c>
      <c r="X44" s="30" t="s">
        <v>241</v>
      </c>
      <c r="Y44" s="30" t="s">
        <v>241</v>
      </c>
      <c r="Z44" s="30" t="s">
        <v>241</v>
      </c>
      <c r="AA44" s="30" t="s">
        <v>241</v>
      </c>
    </row>
    <row r="45" spans="1:27" ht="36" x14ac:dyDescent="0.15">
      <c r="A45" s="30">
        <v>21</v>
      </c>
      <c r="B45" s="30" t="s">
        <v>815</v>
      </c>
      <c r="C45" s="30" t="s">
        <v>816</v>
      </c>
      <c r="D45" s="30" t="s">
        <v>241</v>
      </c>
      <c r="E45" s="30" t="s">
        <v>239</v>
      </c>
      <c r="F45" s="30" t="s">
        <v>240</v>
      </c>
      <c r="G45" s="30">
        <v>5</v>
      </c>
      <c r="H45" s="30">
        <v>3</v>
      </c>
      <c r="I45" s="30">
        <v>5</v>
      </c>
      <c r="J45" s="30">
        <f t="shared" ref="J45" si="15">(I45+H45+G45)</f>
        <v>13</v>
      </c>
      <c r="K45" s="30" t="s">
        <v>169</v>
      </c>
      <c r="L45" s="38" t="s">
        <v>817</v>
      </c>
      <c r="M45" s="30">
        <v>4</v>
      </c>
      <c r="N45" s="30">
        <v>3</v>
      </c>
      <c r="O45" s="30">
        <f>J45*M45*N45</f>
        <v>156</v>
      </c>
      <c r="P45" s="31" t="str">
        <f t="shared" ref="P45" si="16">IF(O45&lt;=94,"Low",IF(AND(O45&gt;94,O45&lt;=188),"Medium",IF(AND(O45&gt;188,O45&lt;=282),"High",IF(AND(O45&gt;282,O45&lt;=375),"Critical","Error"))))</f>
        <v>Medium</v>
      </c>
      <c r="Q45" s="32" t="s">
        <v>818</v>
      </c>
      <c r="R45" s="30" t="str">
        <f>IF(O45&gt;94,"No","Yes")</f>
        <v>No</v>
      </c>
      <c r="S45" s="30" t="str">
        <f>IF(R45="Yes","Accept","Mitigate")</f>
        <v>Mitigate</v>
      </c>
      <c r="T45" s="27" t="s">
        <v>819</v>
      </c>
      <c r="U45" s="27" t="s">
        <v>820</v>
      </c>
      <c r="V45" s="27" t="s">
        <v>820</v>
      </c>
      <c r="W45" s="30">
        <v>4</v>
      </c>
      <c r="X45" s="30">
        <v>1</v>
      </c>
      <c r="Y45" s="46">
        <f>J45*W45*X45</f>
        <v>52</v>
      </c>
      <c r="Z45" s="30" t="s">
        <v>241</v>
      </c>
      <c r="AA45" s="30" t="s">
        <v>241</v>
      </c>
    </row>
  </sheetData>
  <autoFilter ref="A3:AA45" xr:uid="{9F14E572-C667-4EEF-BD5B-9FAA1B2F0D56}"/>
  <mergeCells count="29">
    <mergeCell ref="Z1:AA1"/>
    <mergeCell ref="A2:A3"/>
    <mergeCell ref="B2:B3"/>
    <mergeCell ref="G2:I2"/>
    <mergeCell ref="J2:J3"/>
    <mergeCell ref="K2:O2"/>
    <mergeCell ref="P2:P3"/>
    <mergeCell ref="A1:J1"/>
    <mergeCell ref="K1:P1"/>
    <mergeCell ref="T2:U2"/>
    <mergeCell ref="D25:D30"/>
    <mergeCell ref="D31:D36"/>
    <mergeCell ref="D16:D24"/>
    <mergeCell ref="R1:U1"/>
    <mergeCell ref="W1:Y1"/>
    <mergeCell ref="D14:D15"/>
    <mergeCell ref="D12:D13"/>
    <mergeCell ref="A16:A24"/>
    <mergeCell ref="A25:A30"/>
    <mergeCell ref="C25:C30"/>
    <mergeCell ref="A31:A36"/>
    <mergeCell ref="C31:C36"/>
    <mergeCell ref="C16:C24"/>
    <mergeCell ref="A6:A7"/>
    <mergeCell ref="A8:A10"/>
    <mergeCell ref="C8:C10"/>
    <mergeCell ref="C6:C7"/>
    <mergeCell ref="D6:D7"/>
    <mergeCell ref="D8:D10"/>
  </mergeCells>
  <conditionalFormatting sqref="O4:O45">
    <cfRule type="cellIs" dxfId="32" priority="37" operator="between">
      <formula>283</formula>
      <formula>372</formula>
    </cfRule>
    <cfRule type="cellIs" dxfId="31" priority="38" operator="between">
      <formula>189</formula>
      <formula>282</formula>
    </cfRule>
    <cfRule type="cellIs" dxfId="30" priority="39" operator="between">
      <formula>95</formula>
      <formula>188</formula>
    </cfRule>
    <cfRule type="cellIs" dxfId="29" priority="40" operator="between">
      <formula>1</formula>
      <formula>94</formula>
    </cfRule>
  </conditionalFormatting>
  <conditionalFormatting sqref="O30:O45 Y4:Y45">
    <cfRule type="cellIs" dxfId="28" priority="42" operator="between">
      <formula>99</formula>
      <formula>144</formula>
    </cfRule>
  </conditionalFormatting>
  <conditionalFormatting sqref="Y4:Y45 O30:O45">
    <cfRule type="cellIs" priority="41" operator="between">
      <formula>145</formula>
      <formula>192</formula>
    </cfRule>
    <cfRule type="cellIs" dxfId="27" priority="43" operator="between">
      <formula>95</formula>
      <formula>182</formula>
    </cfRule>
    <cfRule type="cellIs" dxfId="26" priority="44" operator="between">
      <formula>1</formula>
      <formula>94</formula>
    </cfRule>
  </conditionalFormatting>
  <pageMargins left="0.75" right="0.75" top="1" bottom="1" header="0.5" footer="0.5"/>
  <pageSetup orientation="portrait" verticalDpi="1200" r:id="rId1"/>
  <headerFooter alignWithMargins="0"/>
  <ignoredErrors>
    <ignoredError sqref="O7:O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D04ED-8360-45D4-BBCA-4C850786C8E2}">
  <sheetPr codeName="Sheet8"/>
  <dimension ref="A1:AA43"/>
  <sheetViews>
    <sheetView zoomScaleNormal="100" workbookViewId="0">
      <pane xSplit="2" ySplit="3" topLeftCell="I4" activePane="bottomRight" state="frozen"/>
      <selection pane="topRight" activeCell="C1" sqref="C1"/>
      <selection pane="bottomLeft" activeCell="A4" sqref="A4"/>
      <selection pane="bottomRight" activeCell="L30" sqref="L30"/>
    </sheetView>
  </sheetViews>
  <sheetFormatPr baseColWidth="10" defaultColWidth="9.1640625" defaultRowHeight="16" x14ac:dyDescent="0.15"/>
  <cols>
    <col min="1" max="1" width="9.1640625" style="8"/>
    <col min="2" max="3" width="17.1640625" style="9" customWidth="1"/>
    <col min="4" max="6" width="10.5" style="9" customWidth="1"/>
    <col min="7" max="9" width="10.6640625" style="8" customWidth="1"/>
    <col min="10" max="10" width="11.5" style="8" customWidth="1"/>
    <col min="11" max="11" width="25.6640625" style="8" customWidth="1"/>
    <col min="12" max="12" width="22.83203125" style="8" customWidth="1"/>
    <col min="13" max="13" width="7.6640625" style="8" customWidth="1"/>
    <col min="14" max="15" width="15.6640625" style="8" customWidth="1"/>
    <col min="16" max="16" width="11.5" style="8" customWidth="1"/>
    <col min="17" max="17" width="26.5" style="8" customWidth="1"/>
    <col min="18" max="26" width="16.33203125" style="8" customWidth="1"/>
    <col min="27" max="27" width="24.33203125" style="8" customWidth="1"/>
    <col min="28" max="16384" width="9.1640625" style="8"/>
  </cols>
  <sheetData>
    <row r="1" spans="1:27" s="7" customFormat="1" ht="17" thickBot="1" x14ac:dyDescent="0.2">
      <c r="A1" s="239" t="s">
        <v>10</v>
      </c>
      <c r="B1" s="240"/>
      <c r="C1" s="240"/>
      <c r="D1" s="240"/>
      <c r="E1" s="240"/>
      <c r="F1" s="240"/>
      <c r="G1" s="240"/>
      <c r="H1" s="240"/>
      <c r="I1" s="240"/>
      <c r="J1" s="240"/>
      <c r="K1" s="239" t="s">
        <v>24</v>
      </c>
      <c r="L1" s="240"/>
      <c r="M1" s="240"/>
      <c r="N1" s="240"/>
      <c r="O1" s="240"/>
      <c r="P1" s="241"/>
      <c r="Q1" s="19"/>
      <c r="R1" s="239" t="s">
        <v>52</v>
      </c>
      <c r="S1" s="240"/>
      <c r="T1" s="240"/>
      <c r="U1" s="241"/>
      <c r="V1" s="10"/>
      <c r="W1" s="239" t="s">
        <v>55</v>
      </c>
      <c r="X1" s="240"/>
      <c r="Y1" s="241"/>
      <c r="Z1" s="149" t="s">
        <v>75</v>
      </c>
      <c r="AA1" s="150"/>
    </row>
    <row r="2" spans="1:27" s="7" customFormat="1" x14ac:dyDescent="0.15">
      <c r="A2" s="228" t="s">
        <v>0</v>
      </c>
      <c r="B2" s="229" t="s">
        <v>1</v>
      </c>
      <c r="C2" s="39"/>
      <c r="D2" s="39"/>
      <c r="E2" s="39"/>
      <c r="F2" s="39"/>
      <c r="G2" s="230" t="s">
        <v>4</v>
      </c>
      <c r="H2" s="230"/>
      <c r="I2" s="230"/>
      <c r="J2" s="231" t="s">
        <v>834</v>
      </c>
      <c r="K2" s="233" t="s">
        <v>25</v>
      </c>
      <c r="L2" s="234"/>
      <c r="M2" s="234"/>
      <c r="N2" s="234"/>
      <c r="O2" s="235"/>
      <c r="P2" s="236" t="s">
        <v>6</v>
      </c>
      <c r="Q2" s="40" t="s">
        <v>53</v>
      </c>
      <c r="R2" s="40" t="s">
        <v>32</v>
      </c>
      <c r="S2" s="40" t="s">
        <v>34</v>
      </c>
      <c r="T2" s="226" t="s">
        <v>39</v>
      </c>
      <c r="U2" s="227"/>
      <c r="V2" s="40" t="s">
        <v>37</v>
      </c>
      <c r="W2" s="40" t="s">
        <v>46</v>
      </c>
      <c r="X2" s="40" t="s">
        <v>48</v>
      </c>
      <c r="Y2" s="40" t="s">
        <v>54</v>
      </c>
      <c r="Z2" s="40" t="s">
        <v>51</v>
      </c>
      <c r="AA2" s="22" t="s">
        <v>76</v>
      </c>
    </row>
    <row r="3" spans="1:27" s="7" customFormat="1" ht="30" customHeight="1" thickBot="1" x14ac:dyDescent="0.2">
      <c r="A3" s="216"/>
      <c r="B3" s="219"/>
      <c r="C3" s="41" t="s">
        <v>57</v>
      </c>
      <c r="D3" s="36" t="s">
        <v>235</v>
      </c>
      <c r="E3" s="36" t="s">
        <v>237</v>
      </c>
      <c r="F3" s="36" t="s">
        <v>238</v>
      </c>
      <c r="G3" s="42" t="s">
        <v>7</v>
      </c>
      <c r="H3" s="43" t="s">
        <v>8</v>
      </c>
      <c r="I3" s="42" t="s">
        <v>9</v>
      </c>
      <c r="J3" s="232"/>
      <c r="K3" s="44" t="s">
        <v>26</v>
      </c>
      <c r="L3" s="44" t="s">
        <v>27</v>
      </c>
      <c r="M3" s="44" t="s">
        <v>29</v>
      </c>
      <c r="N3" s="44" t="s">
        <v>30</v>
      </c>
      <c r="O3" s="44" t="s">
        <v>31</v>
      </c>
      <c r="P3" s="237"/>
      <c r="Q3" s="44" t="s">
        <v>28</v>
      </c>
      <c r="R3" s="44" t="s">
        <v>33</v>
      </c>
      <c r="S3" s="44" t="s">
        <v>35</v>
      </c>
      <c r="T3" s="44" t="s">
        <v>233</v>
      </c>
      <c r="U3" s="44" t="s">
        <v>234</v>
      </c>
      <c r="V3" s="44" t="s">
        <v>38</v>
      </c>
      <c r="W3" s="44" t="s">
        <v>47</v>
      </c>
      <c r="X3" s="44" t="s">
        <v>49</v>
      </c>
      <c r="Y3" s="44" t="s">
        <v>50</v>
      </c>
      <c r="Z3" s="26" t="s">
        <v>257</v>
      </c>
      <c r="AA3" s="26" t="s">
        <v>78</v>
      </c>
    </row>
    <row r="4" spans="1:27" ht="36" x14ac:dyDescent="0.15">
      <c r="A4" s="162">
        <v>1</v>
      </c>
      <c r="B4" s="30" t="s">
        <v>145</v>
      </c>
      <c r="C4" s="162" t="s">
        <v>255</v>
      </c>
      <c r="D4" s="147" t="s">
        <v>241</v>
      </c>
      <c r="E4" s="34" t="s">
        <v>239</v>
      </c>
      <c r="F4" s="34" t="s">
        <v>240</v>
      </c>
      <c r="G4" s="30">
        <v>4</v>
      </c>
      <c r="H4" s="30">
        <v>4</v>
      </c>
      <c r="I4" s="30">
        <v>4</v>
      </c>
      <c r="J4" s="30">
        <f>(I4+H4+G4)</f>
        <v>12</v>
      </c>
      <c r="K4" s="30" t="s">
        <v>140</v>
      </c>
      <c r="L4" s="38" t="s">
        <v>67</v>
      </c>
      <c r="M4" s="30">
        <v>4</v>
      </c>
      <c r="N4" s="30">
        <v>1</v>
      </c>
      <c r="O4" s="30">
        <f>J4*M4*N4</f>
        <v>48</v>
      </c>
      <c r="P4" s="31" t="str">
        <f t="shared" ref="P4:P26" si="0">IF(O4&lt;=94,"Low",IF(AND(O4&gt;94,O4&lt;=188),"Medium",IF(AND(O4&gt;188,O4&lt;=282),"High",IF(AND(O4&gt;282,O4&lt;=375),"Critical","Error"))))</f>
        <v>Low</v>
      </c>
      <c r="Q4" s="35" t="s">
        <v>721</v>
      </c>
      <c r="R4" s="30" t="str">
        <f t="shared" ref="R4:R26" si="1">IF(O4&gt;94,"No","Yes")</f>
        <v>Yes</v>
      </c>
      <c r="S4" s="30" t="str">
        <f t="shared" ref="S4:S26" si="2">IF(R4="Yes","Accept","Mitigate")</f>
        <v>Accept</v>
      </c>
      <c r="T4" s="30" t="s">
        <v>17</v>
      </c>
      <c r="U4" s="30" t="s">
        <v>241</v>
      </c>
      <c r="V4" s="30" t="s">
        <v>79</v>
      </c>
      <c r="W4" s="30" t="s">
        <v>241</v>
      </c>
      <c r="X4" s="30" t="s">
        <v>241</v>
      </c>
      <c r="Y4" s="30" t="s">
        <v>241</v>
      </c>
      <c r="Z4" s="30" t="s">
        <v>241</v>
      </c>
      <c r="AA4" s="30" t="s">
        <v>241</v>
      </c>
    </row>
    <row r="5" spans="1:27" ht="24" x14ac:dyDescent="0.15">
      <c r="A5" s="162"/>
      <c r="B5" s="30" t="s">
        <v>145</v>
      </c>
      <c r="C5" s="162"/>
      <c r="D5" s="164"/>
      <c r="E5" s="34" t="s">
        <v>239</v>
      </c>
      <c r="F5" s="34" t="s">
        <v>240</v>
      </c>
      <c r="G5" s="30">
        <v>4</v>
      </c>
      <c r="H5" s="30">
        <v>4</v>
      </c>
      <c r="I5" s="30">
        <v>4</v>
      </c>
      <c r="J5" s="30">
        <f t="shared" ref="J5:J7" si="3">(I5+H5+G5)</f>
        <v>12</v>
      </c>
      <c r="K5" s="30" t="s">
        <v>140</v>
      </c>
      <c r="L5" s="38" t="s">
        <v>59</v>
      </c>
      <c r="M5" s="30">
        <v>3</v>
      </c>
      <c r="N5" s="30">
        <v>2</v>
      </c>
      <c r="O5" s="30">
        <f>J4*M5*N5</f>
        <v>72</v>
      </c>
      <c r="P5" s="31" t="str">
        <f t="shared" si="0"/>
        <v>Low</v>
      </c>
      <c r="Q5" s="35" t="s">
        <v>71</v>
      </c>
      <c r="R5" s="30" t="str">
        <f t="shared" si="1"/>
        <v>Yes</v>
      </c>
      <c r="S5" s="30" t="str">
        <f t="shared" si="2"/>
        <v>Accept</v>
      </c>
      <c r="T5" s="30" t="s">
        <v>17</v>
      </c>
      <c r="U5" s="30" t="s">
        <v>241</v>
      </c>
      <c r="V5" s="30" t="s">
        <v>79</v>
      </c>
      <c r="W5" s="30" t="s">
        <v>241</v>
      </c>
      <c r="X5" s="30" t="s">
        <v>241</v>
      </c>
      <c r="Y5" s="30" t="s">
        <v>241</v>
      </c>
      <c r="Z5" s="30" t="s">
        <v>241</v>
      </c>
      <c r="AA5" s="30" t="s">
        <v>241</v>
      </c>
    </row>
    <row r="6" spans="1:27" ht="60" x14ac:dyDescent="0.15">
      <c r="A6" s="162"/>
      <c r="B6" s="30" t="s">
        <v>145</v>
      </c>
      <c r="C6" s="162"/>
      <c r="D6" s="164"/>
      <c r="E6" s="34" t="s">
        <v>239</v>
      </c>
      <c r="F6" s="34" t="s">
        <v>240</v>
      </c>
      <c r="G6" s="30">
        <v>4</v>
      </c>
      <c r="H6" s="30">
        <v>4</v>
      </c>
      <c r="I6" s="30">
        <v>4</v>
      </c>
      <c r="J6" s="30">
        <f t="shared" si="3"/>
        <v>12</v>
      </c>
      <c r="K6" s="30" t="s">
        <v>140</v>
      </c>
      <c r="L6" s="38" t="s">
        <v>68</v>
      </c>
      <c r="M6" s="30">
        <v>4</v>
      </c>
      <c r="N6" s="30">
        <v>1</v>
      </c>
      <c r="O6" s="30">
        <f>J4*M6*N6</f>
        <v>48</v>
      </c>
      <c r="P6" s="31" t="str">
        <f t="shared" si="0"/>
        <v>Low</v>
      </c>
      <c r="Q6" s="35" t="s">
        <v>722</v>
      </c>
      <c r="R6" s="30" t="str">
        <f t="shared" si="1"/>
        <v>Yes</v>
      </c>
      <c r="S6" s="30" t="str">
        <f t="shared" si="2"/>
        <v>Accept</v>
      </c>
      <c r="T6" s="30" t="s">
        <v>17</v>
      </c>
      <c r="U6" s="30" t="s">
        <v>241</v>
      </c>
      <c r="V6" s="30" t="s">
        <v>79</v>
      </c>
      <c r="W6" s="30" t="s">
        <v>241</v>
      </c>
      <c r="X6" s="30" t="s">
        <v>241</v>
      </c>
      <c r="Y6" s="30" t="s">
        <v>241</v>
      </c>
      <c r="Z6" s="30" t="s">
        <v>241</v>
      </c>
      <c r="AA6" s="30" t="s">
        <v>241</v>
      </c>
    </row>
    <row r="7" spans="1:27" ht="24" x14ac:dyDescent="0.15">
      <c r="A7" s="162"/>
      <c r="B7" s="30" t="s">
        <v>145</v>
      </c>
      <c r="C7" s="162"/>
      <c r="D7" s="148"/>
      <c r="E7" s="34" t="s">
        <v>239</v>
      </c>
      <c r="F7" s="34" t="s">
        <v>240</v>
      </c>
      <c r="G7" s="30">
        <v>4</v>
      </c>
      <c r="H7" s="30">
        <v>4</v>
      </c>
      <c r="I7" s="30">
        <v>4</v>
      </c>
      <c r="J7" s="30">
        <f t="shared" si="3"/>
        <v>12</v>
      </c>
      <c r="K7" s="30" t="s">
        <v>140</v>
      </c>
      <c r="L7" s="38" t="s">
        <v>69</v>
      </c>
      <c r="M7" s="30">
        <v>4</v>
      </c>
      <c r="N7" s="30">
        <v>1</v>
      </c>
      <c r="O7" s="30">
        <f>J4*M7*N7</f>
        <v>48</v>
      </c>
      <c r="P7" s="31" t="str">
        <f t="shared" si="0"/>
        <v>Low</v>
      </c>
      <c r="Q7" s="35" t="s">
        <v>142</v>
      </c>
      <c r="R7" s="30" t="str">
        <f t="shared" si="1"/>
        <v>Yes</v>
      </c>
      <c r="S7" s="30" t="str">
        <f t="shared" si="2"/>
        <v>Accept</v>
      </c>
      <c r="T7" s="30" t="s">
        <v>17</v>
      </c>
      <c r="U7" s="30" t="s">
        <v>241</v>
      </c>
      <c r="V7" s="30" t="s">
        <v>79</v>
      </c>
      <c r="W7" s="30" t="s">
        <v>241</v>
      </c>
      <c r="X7" s="30" t="s">
        <v>241</v>
      </c>
      <c r="Y7" s="30" t="s">
        <v>241</v>
      </c>
      <c r="Z7" s="30" t="s">
        <v>241</v>
      </c>
      <c r="AA7" s="30" t="s">
        <v>241</v>
      </c>
    </row>
    <row r="8" spans="1:27" ht="36" x14ac:dyDescent="0.15">
      <c r="A8" s="30">
        <v>2</v>
      </c>
      <c r="B8" s="30" t="s">
        <v>146</v>
      </c>
      <c r="C8" s="30" t="s">
        <v>256</v>
      </c>
      <c r="D8" s="30" t="s">
        <v>241</v>
      </c>
      <c r="E8" s="30" t="s">
        <v>239</v>
      </c>
      <c r="F8" s="30" t="s">
        <v>240</v>
      </c>
      <c r="G8" s="30">
        <v>3</v>
      </c>
      <c r="H8" s="30">
        <v>3</v>
      </c>
      <c r="I8" s="30">
        <v>3</v>
      </c>
      <c r="J8" s="30">
        <f>(G8+H8+I8)</f>
        <v>9</v>
      </c>
      <c r="K8" s="30" t="s">
        <v>141</v>
      </c>
      <c r="L8" s="38" t="s">
        <v>70</v>
      </c>
      <c r="M8" s="30">
        <v>4</v>
      </c>
      <c r="N8" s="30">
        <v>4</v>
      </c>
      <c r="O8" s="30">
        <f>J4*M8*N8</f>
        <v>192</v>
      </c>
      <c r="P8" s="31" t="str">
        <f t="shared" si="0"/>
        <v>High</v>
      </c>
      <c r="Q8" s="35"/>
      <c r="R8" s="30" t="str">
        <f t="shared" si="1"/>
        <v>No</v>
      </c>
      <c r="S8" s="30" t="str">
        <f t="shared" si="2"/>
        <v>Mitigate</v>
      </c>
      <c r="T8" s="30" t="s">
        <v>309</v>
      </c>
      <c r="U8" s="30" t="s">
        <v>311</v>
      </c>
      <c r="V8" s="30" t="s">
        <v>79</v>
      </c>
      <c r="W8" s="30">
        <v>4</v>
      </c>
      <c r="X8" s="30">
        <v>1</v>
      </c>
      <c r="Y8" s="30">
        <f>J4*W8*X8</f>
        <v>48</v>
      </c>
      <c r="Z8" s="30" t="str">
        <f>IF(Y8&lt;94,"No","Yes")</f>
        <v>No</v>
      </c>
      <c r="AA8" s="45" t="s">
        <v>17</v>
      </c>
    </row>
    <row r="9" spans="1:27" ht="36" x14ac:dyDescent="0.15">
      <c r="A9" s="30">
        <v>3</v>
      </c>
      <c r="B9" s="30" t="s">
        <v>227</v>
      </c>
      <c r="C9" s="30" t="s">
        <v>256</v>
      </c>
      <c r="D9" s="30" t="s">
        <v>241</v>
      </c>
      <c r="E9" s="30" t="s">
        <v>239</v>
      </c>
      <c r="F9" s="30" t="s">
        <v>240</v>
      </c>
      <c r="G9" s="30">
        <v>3</v>
      </c>
      <c r="H9" s="30">
        <v>3</v>
      </c>
      <c r="I9" s="30">
        <v>3</v>
      </c>
      <c r="J9" s="30">
        <f>(G9+H9+I9)</f>
        <v>9</v>
      </c>
      <c r="K9" s="30" t="s">
        <v>228</v>
      </c>
      <c r="L9" s="38" t="s">
        <v>229</v>
      </c>
      <c r="M9" s="30">
        <v>4</v>
      </c>
      <c r="N9" s="30">
        <v>4</v>
      </c>
      <c r="O9" s="30">
        <f>J9*M9*N9</f>
        <v>144</v>
      </c>
      <c r="P9" s="31" t="str">
        <f t="shared" si="0"/>
        <v>Medium</v>
      </c>
      <c r="Q9" s="35"/>
      <c r="R9" s="30" t="str">
        <f t="shared" si="1"/>
        <v>No</v>
      </c>
      <c r="S9" s="30" t="str">
        <f t="shared" si="2"/>
        <v>Mitigate</v>
      </c>
      <c r="T9" s="30" t="s">
        <v>805</v>
      </c>
      <c r="U9" s="30" t="s">
        <v>311</v>
      </c>
      <c r="V9" s="30" t="s">
        <v>79</v>
      </c>
      <c r="W9" s="30">
        <v>4</v>
      </c>
      <c r="X9" s="30">
        <v>1</v>
      </c>
      <c r="Y9" s="30">
        <f>J9*W9*X9</f>
        <v>36</v>
      </c>
      <c r="Z9" s="30" t="str">
        <f>IF(Y9&lt;94,"No","Yes")</f>
        <v>No</v>
      </c>
      <c r="AA9" s="45" t="s">
        <v>17</v>
      </c>
    </row>
    <row r="10" spans="1:27" x14ac:dyDescent="0.15">
      <c r="A10" s="147">
        <v>4</v>
      </c>
      <c r="B10" s="162" t="s">
        <v>147</v>
      </c>
      <c r="C10" s="147" t="s">
        <v>242</v>
      </c>
      <c r="D10" s="147" t="s">
        <v>241</v>
      </c>
      <c r="E10" s="34" t="s">
        <v>239</v>
      </c>
      <c r="F10" s="34" t="s">
        <v>240</v>
      </c>
      <c r="G10" s="30">
        <v>4</v>
      </c>
      <c r="H10" s="30">
        <v>3</v>
      </c>
      <c r="I10" s="30">
        <v>3</v>
      </c>
      <c r="J10" s="30">
        <f>(I10+H10+G10)</f>
        <v>10</v>
      </c>
      <c r="K10" s="30" t="s">
        <v>148</v>
      </c>
      <c r="L10" s="116" t="s">
        <v>67</v>
      </c>
      <c r="M10" s="30">
        <v>3</v>
      </c>
      <c r="N10" s="30">
        <v>2</v>
      </c>
      <c r="O10" s="30">
        <f>J10*M10*N10</f>
        <v>60</v>
      </c>
      <c r="P10" s="31" t="str">
        <f t="shared" si="0"/>
        <v>Low</v>
      </c>
      <c r="Q10" s="238" t="s">
        <v>723</v>
      </c>
      <c r="R10" s="30" t="str">
        <f t="shared" si="1"/>
        <v>Yes</v>
      </c>
      <c r="S10" s="30" t="str">
        <f t="shared" si="2"/>
        <v>Accept</v>
      </c>
      <c r="T10" s="30" t="s">
        <v>17</v>
      </c>
      <c r="U10" s="30" t="s">
        <v>241</v>
      </c>
      <c r="V10" s="30" t="s">
        <v>79</v>
      </c>
      <c r="W10" s="30" t="s">
        <v>241</v>
      </c>
      <c r="X10" s="30" t="s">
        <v>241</v>
      </c>
      <c r="Y10" s="30" t="s">
        <v>241</v>
      </c>
      <c r="Z10" s="30" t="s">
        <v>241</v>
      </c>
      <c r="AA10" s="30" t="s">
        <v>241</v>
      </c>
    </row>
    <row r="11" spans="1:27" x14ac:dyDescent="0.15">
      <c r="A11" s="148"/>
      <c r="B11" s="162"/>
      <c r="C11" s="148"/>
      <c r="D11" s="148"/>
      <c r="E11" s="34" t="s">
        <v>239</v>
      </c>
      <c r="F11" s="34" t="s">
        <v>240</v>
      </c>
      <c r="G11" s="30">
        <v>4</v>
      </c>
      <c r="H11" s="30">
        <v>3</v>
      </c>
      <c r="I11" s="30">
        <v>3</v>
      </c>
      <c r="J11" s="30">
        <f>(I11+H11+G11)</f>
        <v>10</v>
      </c>
      <c r="K11" s="30" t="s">
        <v>149</v>
      </c>
      <c r="L11" s="116" t="s">
        <v>67</v>
      </c>
      <c r="M11" s="30">
        <v>3</v>
      </c>
      <c r="N11" s="30">
        <v>2</v>
      </c>
      <c r="O11" s="30">
        <f>J10*M11*N11</f>
        <v>60</v>
      </c>
      <c r="P11" s="31" t="str">
        <f t="shared" si="0"/>
        <v>Low</v>
      </c>
      <c r="Q11" s="238"/>
      <c r="R11" s="30" t="str">
        <f t="shared" si="1"/>
        <v>Yes</v>
      </c>
      <c r="S11" s="30" t="str">
        <f t="shared" si="2"/>
        <v>Accept</v>
      </c>
      <c r="T11" s="30" t="s">
        <v>17</v>
      </c>
      <c r="U11" s="30" t="s">
        <v>241</v>
      </c>
      <c r="V11" s="30" t="s">
        <v>79</v>
      </c>
      <c r="W11" s="30" t="s">
        <v>241</v>
      </c>
      <c r="X11" s="30" t="s">
        <v>241</v>
      </c>
      <c r="Y11" s="30" t="s">
        <v>241</v>
      </c>
      <c r="Z11" s="30" t="s">
        <v>241</v>
      </c>
      <c r="AA11" s="30" t="s">
        <v>241</v>
      </c>
    </row>
    <row r="12" spans="1:27" ht="48" x14ac:dyDescent="0.15">
      <c r="A12" s="162">
        <v>5</v>
      </c>
      <c r="B12" s="30" t="s">
        <v>150</v>
      </c>
      <c r="C12" s="162" t="s">
        <v>242</v>
      </c>
      <c r="D12" s="147">
        <v>8</v>
      </c>
      <c r="E12" s="34" t="s">
        <v>239</v>
      </c>
      <c r="F12" s="34" t="s">
        <v>240</v>
      </c>
      <c r="G12" s="30">
        <v>3</v>
      </c>
      <c r="H12" s="30">
        <v>4</v>
      </c>
      <c r="I12" s="30">
        <v>4</v>
      </c>
      <c r="J12" s="30">
        <f>(I12+H12+G12)</f>
        <v>11</v>
      </c>
      <c r="K12" s="162" t="s">
        <v>153</v>
      </c>
      <c r="L12" s="38" t="s">
        <v>60</v>
      </c>
      <c r="M12" s="30">
        <v>4</v>
      </c>
      <c r="N12" s="30">
        <v>1</v>
      </c>
      <c r="O12" s="30">
        <f>J12*M12*N12</f>
        <v>44</v>
      </c>
      <c r="P12" s="31" t="str">
        <f t="shared" si="0"/>
        <v>Low</v>
      </c>
      <c r="Q12" s="35" t="s">
        <v>724</v>
      </c>
      <c r="R12" s="30" t="str">
        <f t="shared" si="1"/>
        <v>Yes</v>
      </c>
      <c r="S12" s="30" t="str">
        <f t="shared" si="2"/>
        <v>Accept</v>
      </c>
      <c r="T12" s="30" t="s">
        <v>17</v>
      </c>
      <c r="U12" s="30" t="s">
        <v>241</v>
      </c>
      <c r="V12" s="30" t="s">
        <v>79</v>
      </c>
      <c r="W12" s="30" t="s">
        <v>241</v>
      </c>
      <c r="X12" s="30" t="s">
        <v>241</v>
      </c>
      <c r="Y12" s="30" t="s">
        <v>241</v>
      </c>
      <c r="Z12" s="30" t="s">
        <v>241</v>
      </c>
      <c r="AA12" s="30" t="s">
        <v>241</v>
      </c>
    </row>
    <row r="13" spans="1:27" ht="36" x14ac:dyDescent="0.15">
      <c r="A13" s="162"/>
      <c r="B13" s="30" t="s">
        <v>150</v>
      </c>
      <c r="C13" s="162"/>
      <c r="D13" s="164"/>
      <c r="E13" s="34" t="s">
        <v>239</v>
      </c>
      <c r="F13" s="34" t="s">
        <v>240</v>
      </c>
      <c r="G13" s="30">
        <v>3</v>
      </c>
      <c r="H13" s="30">
        <v>4</v>
      </c>
      <c r="I13" s="30">
        <v>4</v>
      </c>
      <c r="J13" s="30">
        <f t="shared" ref="J13:J15" si="4">(I13+H13+G13)</f>
        <v>11</v>
      </c>
      <c r="K13" s="162"/>
      <c r="L13" s="38" t="s">
        <v>152</v>
      </c>
      <c r="M13" s="30">
        <v>4</v>
      </c>
      <c r="N13" s="30">
        <v>1</v>
      </c>
      <c r="O13" s="30">
        <f>J12*M13*N13</f>
        <v>44</v>
      </c>
      <c r="P13" s="31" t="str">
        <f t="shared" si="0"/>
        <v>Low</v>
      </c>
      <c r="Q13" s="35" t="s">
        <v>725</v>
      </c>
      <c r="R13" s="30" t="str">
        <f t="shared" si="1"/>
        <v>Yes</v>
      </c>
      <c r="S13" s="30" t="str">
        <f t="shared" si="2"/>
        <v>Accept</v>
      </c>
      <c r="T13" s="30" t="s">
        <v>17</v>
      </c>
      <c r="U13" s="30" t="s">
        <v>241</v>
      </c>
      <c r="V13" s="30" t="s">
        <v>79</v>
      </c>
      <c r="W13" s="30" t="s">
        <v>241</v>
      </c>
      <c r="X13" s="30" t="s">
        <v>241</v>
      </c>
      <c r="Y13" s="30" t="s">
        <v>241</v>
      </c>
      <c r="Z13" s="30" t="s">
        <v>241</v>
      </c>
      <c r="AA13" s="30" t="s">
        <v>241</v>
      </c>
    </row>
    <row r="14" spans="1:27" ht="24" x14ac:dyDescent="0.15">
      <c r="A14" s="162"/>
      <c r="B14" s="30" t="s">
        <v>150</v>
      </c>
      <c r="C14" s="162"/>
      <c r="D14" s="164"/>
      <c r="E14" s="34" t="s">
        <v>239</v>
      </c>
      <c r="F14" s="34" t="s">
        <v>240</v>
      </c>
      <c r="G14" s="30">
        <v>3</v>
      </c>
      <c r="H14" s="30">
        <v>4</v>
      </c>
      <c r="I14" s="30">
        <v>4</v>
      </c>
      <c r="J14" s="30">
        <f t="shared" si="4"/>
        <v>11</v>
      </c>
      <c r="K14" s="162"/>
      <c r="L14" s="38" t="s">
        <v>108</v>
      </c>
      <c r="M14" s="30">
        <v>4</v>
      </c>
      <c r="N14" s="30">
        <v>1</v>
      </c>
      <c r="O14" s="30">
        <f>J12*M14*N14</f>
        <v>44</v>
      </c>
      <c r="P14" s="31" t="str">
        <f t="shared" si="0"/>
        <v>Low</v>
      </c>
      <c r="Q14" s="35" t="s">
        <v>726</v>
      </c>
      <c r="R14" s="30" t="str">
        <f t="shared" si="1"/>
        <v>Yes</v>
      </c>
      <c r="S14" s="30" t="str">
        <f t="shared" si="2"/>
        <v>Accept</v>
      </c>
      <c r="T14" s="30" t="s">
        <v>17</v>
      </c>
      <c r="U14" s="30" t="s">
        <v>241</v>
      </c>
      <c r="V14" s="30" t="s">
        <v>79</v>
      </c>
      <c r="W14" s="30" t="s">
        <v>241</v>
      </c>
      <c r="X14" s="30" t="s">
        <v>241</v>
      </c>
      <c r="Y14" s="30" t="s">
        <v>241</v>
      </c>
      <c r="Z14" s="30" t="s">
        <v>241</v>
      </c>
      <c r="AA14" s="30" t="s">
        <v>241</v>
      </c>
    </row>
    <row r="15" spans="1:27" ht="24" x14ac:dyDescent="0.15">
      <c r="A15" s="162"/>
      <c r="B15" s="30" t="s">
        <v>150</v>
      </c>
      <c r="C15" s="162"/>
      <c r="D15" s="148"/>
      <c r="E15" s="34" t="s">
        <v>239</v>
      </c>
      <c r="F15" s="34" t="s">
        <v>240</v>
      </c>
      <c r="G15" s="30">
        <v>3</v>
      </c>
      <c r="H15" s="30">
        <v>4</v>
      </c>
      <c r="I15" s="30">
        <v>4</v>
      </c>
      <c r="J15" s="30">
        <f t="shared" si="4"/>
        <v>11</v>
      </c>
      <c r="K15" s="30" t="s">
        <v>151</v>
      </c>
      <c r="L15" s="38" t="s">
        <v>108</v>
      </c>
      <c r="M15" s="30">
        <v>4</v>
      </c>
      <c r="N15" s="30">
        <v>1</v>
      </c>
      <c r="O15" s="30">
        <f>J12*M15*N15</f>
        <v>44</v>
      </c>
      <c r="P15" s="31" t="str">
        <f t="shared" si="0"/>
        <v>Low</v>
      </c>
      <c r="Q15" s="35" t="s">
        <v>726</v>
      </c>
      <c r="R15" s="30" t="str">
        <f t="shared" si="1"/>
        <v>Yes</v>
      </c>
      <c r="S15" s="30" t="str">
        <f t="shared" si="2"/>
        <v>Accept</v>
      </c>
      <c r="T15" s="30" t="s">
        <v>17</v>
      </c>
      <c r="U15" s="30" t="s">
        <v>241</v>
      </c>
      <c r="V15" s="30" t="s">
        <v>79</v>
      </c>
      <c r="W15" s="30" t="s">
        <v>241</v>
      </c>
      <c r="X15" s="30" t="s">
        <v>241</v>
      </c>
      <c r="Y15" s="30" t="s">
        <v>241</v>
      </c>
      <c r="Z15" s="30" t="s">
        <v>241</v>
      </c>
      <c r="AA15" s="30" t="s">
        <v>241</v>
      </c>
    </row>
    <row r="16" spans="1:27" ht="48" x14ac:dyDescent="0.15">
      <c r="A16" s="162">
        <v>6</v>
      </c>
      <c r="B16" s="30" t="s">
        <v>301</v>
      </c>
      <c r="C16" s="162" t="s">
        <v>66</v>
      </c>
      <c r="D16" s="147" t="s">
        <v>302</v>
      </c>
      <c r="E16" s="34" t="s">
        <v>239</v>
      </c>
      <c r="F16" s="34" t="s">
        <v>240</v>
      </c>
      <c r="G16" s="30">
        <v>3</v>
      </c>
      <c r="H16" s="30">
        <v>4</v>
      </c>
      <c r="I16" s="30">
        <v>4</v>
      </c>
      <c r="J16" s="30">
        <f>(I16+H16+G16)</f>
        <v>11</v>
      </c>
      <c r="K16" s="30" t="s">
        <v>153</v>
      </c>
      <c r="L16" s="38" t="s">
        <v>60</v>
      </c>
      <c r="M16" s="30">
        <v>4</v>
      </c>
      <c r="N16" s="30">
        <v>1</v>
      </c>
      <c r="O16" s="30">
        <f>J16*M16*N16</f>
        <v>44</v>
      </c>
      <c r="P16" s="31" t="str">
        <f t="shared" si="0"/>
        <v>Low</v>
      </c>
      <c r="Q16" s="35" t="s">
        <v>727</v>
      </c>
      <c r="R16" s="30" t="str">
        <f t="shared" si="1"/>
        <v>Yes</v>
      </c>
      <c r="S16" s="30" t="str">
        <f t="shared" si="2"/>
        <v>Accept</v>
      </c>
      <c r="T16" s="30" t="s">
        <v>17</v>
      </c>
      <c r="U16" s="30" t="s">
        <v>241</v>
      </c>
      <c r="V16" s="30" t="s">
        <v>79</v>
      </c>
      <c r="W16" s="30" t="s">
        <v>241</v>
      </c>
      <c r="X16" s="30" t="s">
        <v>241</v>
      </c>
      <c r="Y16" s="30" t="s">
        <v>241</v>
      </c>
      <c r="Z16" s="30" t="s">
        <v>241</v>
      </c>
      <c r="AA16" s="30" t="s">
        <v>241</v>
      </c>
    </row>
    <row r="17" spans="1:27" ht="36" x14ac:dyDescent="0.15">
      <c r="A17" s="162"/>
      <c r="B17" s="30" t="s">
        <v>301</v>
      </c>
      <c r="C17" s="162"/>
      <c r="D17" s="164"/>
      <c r="E17" s="34" t="s">
        <v>239</v>
      </c>
      <c r="F17" s="34" t="s">
        <v>240</v>
      </c>
      <c r="G17" s="30">
        <v>3</v>
      </c>
      <c r="H17" s="30">
        <v>4</v>
      </c>
      <c r="I17" s="30">
        <v>4</v>
      </c>
      <c r="J17" s="30">
        <f t="shared" ref="J17:J19" si="5">(I17+H17+G17)</f>
        <v>11</v>
      </c>
      <c r="K17" s="30" t="s">
        <v>153</v>
      </c>
      <c r="L17" s="38" t="s">
        <v>152</v>
      </c>
      <c r="M17" s="30">
        <v>4</v>
      </c>
      <c r="N17" s="30">
        <v>1</v>
      </c>
      <c r="O17" s="30">
        <f>J16*M17*N17</f>
        <v>44</v>
      </c>
      <c r="P17" s="31" t="str">
        <f t="shared" si="0"/>
        <v>Low</v>
      </c>
      <c r="Q17" s="35" t="s">
        <v>728</v>
      </c>
      <c r="R17" s="30" t="str">
        <f t="shared" si="1"/>
        <v>Yes</v>
      </c>
      <c r="S17" s="30" t="str">
        <f t="shared" si="2"/>
        <v>Accept</v>
      </c>
      <c r="T17" s="30" t="s">
        <v>17</v>
      </c>
      <c r="U17" s="30" t="s">
        <v>241</v>
      </c>
      <c r="V17" s="30" t="s">
        <v>79</v>
      </c>
      <c r="W17" s="30" t="s">
        <v>241</v>
      </c>
      <c r="X17" s="30" t="s">
        <v>241</v>
      </c>
      <c r="Y17" s="30" t="s">
        <v>241</v>
      </c>
      <c r="Z17" s="30" t="s">
        <v>241</v>
      </c>
      <c r="AA17" s="30" t="s">
        <v>241</v>
      </c>
    </row>
    <row r="18" spans="1:27" ht="24" x14ac:dyDescent="0.15">
      <c r="A18" s="162"/>
      <c r="B18" s="30" t="s">
        <v>301</v>
      </c>
      <c r="C18" s="162"/>
      <c r="D18" s="164"/>
      <c r="E18" s="34" t="s">
        <v>239</v>
      </c>
      <c r="F18" s="34" t="s">
        <v>240</v>
      </c>
      <c r="G18" s="30">
        <v>3</v>
      </c>
      <c r="H18" s="30">
        <v>4</v>
      </c>
      <c r="I18" s="30">
        <v>4</v>
      </c>
      <c r="J18" s="30">
        <f t="shared" si="5"/>
        <v>11</v>
      </c>
      <c r="K18" s="30" t="s">
        <v>153</v>
      </c>
      <c r="L18" s="38" t="s">
        <v>108</v>
      </c>
      <c r="M18" s="30">
        <v>4</v>
      </c>
      <c r="N18" s="30">
        <v>1</v>
      </c>
      <c r="O18" s="30">
        <f>J16*M18*N18</f>
        <v>44</v>
      </c>
      <c r="P18" s="31" t="str">
        <f t="shared" si="0"/>
        <v>Low</v>
      </c>
      <c r="Q18" s="35" t="s">
        <v>726</v>
      </c>
      <c r="R18" s="30" t="str">
        <f t="shared" si="1"/>
        <v>Yes</v>
      </c>
      <c r="S18" s="30" t="str">
        <f t="shared" si="2"/>
        <v>Accept</v>
      </c>
      <c r="T18" s="30" t="s">
        <v>17</v>
      </c>
      <c r="U18" s="30" t="s">
        <v>241</v>
      </c>
      <c r="V18" s="30" t="s">
        <v>79</v>
      </c>
      <c r="W18" s="30" t="s">
        <v>241</v>
      </c>
      <c r="X18" s="30" t="s">
        <v>241</v>
      </c>
      <c r="Y18" s="30" t="s">
        <v>241</v>
      </c>
      <c r="Z18" s="30" t="s">
        <v>241</v>
      </c>
      <c r="AA18" s="30" t="s">
        <v>241</v>
      </c>
    </row>
    <row r="19" spans="1:27" ht="24" x14ac:dyDescent="0.15">
      <c r="A19" s="162"/>
      <c r="B19" s="30" t="s">
        <v>301</v>
      </c>
      <c r="C19" s="162"/>
      <c r="D19" s="148"/>
      <c r="E19" s="34" t="s">
        <v>239</v>
      </c>
      <c r="F19" s="34" t="s">
        <v>240</v>
      </c>
      <c r="G19" s="30">
        <v>3</v>
      </c>
      <c r="H19" s="30">
        <v>4</v>
      </c>
      <c r="I19" s="30">
        <v>4</v>
      </c>
      <c r="J19" s="30">
        <f t="shared" si="5"/>
        <v>11</v>
      </c>
      <c r="K19" s="30" t="s">
        <v>151</v>
      </c>
      <c r="L19" s="38" t="s">
        <v>108</v>
      </c>
      <c r="M19" s="30">
        <v>4</v>
      </c>
      <c r="N19" s="30">
        <v>1</v>
      </c>
      <c r="O19" s="30">
        <f>J16*M19*N19</f>
        <v>44</v>
      </c>
      <c r="P19" s="31" t="str">
        <f t="shared" si="0"/>
        <v>Low</v>
      </c>
      <c r="Q19" s="35" t="s">
        <v>726</v>
      </c>
      <c r="R19" s="30" t="str">
        <f t="shared" si="1"/>
        <v>Yes</v>
      </c>
      <c r="S19" s="30" t="str">
        <f t="shared" si="2"/>
        <v>Accept</v>
      </c>
      <c r="T19" s="30" t="s">
        <v>17</v>
      </c>
      <c r="U19" s="30" t="s">
        <v>241</v>
      </c>
      <c r="V19" s="30" t="s">
        <v>79</v>
      </c>
      <c r="W19" s="30" t="s">
        <v>241</v>
      </c>
      <c r="X19" s="30" t="s">
        <v>241</v>
      </c>
      <c r="Y19" s="30" t="s">
        <v>241</v>
      </c>
      <c r="Z19" s="30" t="s">
        <v>241</v>
      </c>
      <c r="AA19" s="30" t="s">
        <v>241</v>
      </c>
    </row>
    <row r="20" spans="1:27" ht="36" x14ac:dyDescent="0.15">
      <c r="A20" s="162">
        <v>7</v>
      </c>
      <c r="B20" s="30" t="s">
        <v>154</v>
      </c>
      <c r="C20" s="147" t="s">
        <v>242</v>
      </c>
      <c r="D20" s="147" t="s">
        <v>241</v>
      </c>
      <c r="E20" s="34" t="s">
        <v>239</v>
      </c>
      <c r="F20" s="34" t="s">
        <v>240</v>
      </c>
      <c r="G20" s="30">
        <v>2</v>
      </c>
      <c r="H20" s="30">
        <v>5</v>
      </c>
      <c r="I20" s="30">
        <v>5</v>
      </c>
      <c r="J20" s="30">
        <f>(I20+H20+G20)</f>
        <v>12</v>
      </c>
      <c r="K20" s="30" t="s">
        <v>155</v>
      </c>
      <c r="L20" s="38" t="s">
        <v>156</v>
      </c>
      <c r="M20" s="30">
        <v>4</v>
      </c>
      <c r="N20" s="30">
        <v>2</v>
      </c>
      <c r="O20" s="30">
        <f>J20*M20*N20</f>
        <v>96</v>
      </c>
      <c r="P20" s="31" t="str">
        <f t="shared" si="0"/>
        <v>Medium</v>
      </c>
      <c r="Q20" s="35" t="s">
        <v>157</v>
      </c>
      <c r="R20" s="30" t="str">
        <f t="shared" si="1"/>
        <v>No</v>
      </c>
      <c r="S20" s="30" t="str">
        <f t="shared" si="2"/>
        <v>Mitigate</v>
      </c>
      <c r="T20" s="30" t="s">
        <v>312</v>
      </c>
      <c r="U20" s="30" t="s">
        <v>310</v>
      </c>
      <c r="V20" s="30" t="s">
        <v>79</v>
      </c>
      <c r="W20" s="30">
        <v>4</v>
      </c>
      <c r="X20" s="30">
        <v>1</v>
      </c>
      <c r="Y20" s="30">
        <f>J20*W20*X20</f>
        <v>48</v>
      </c>
      <c r="Z20" s="30" t="str">
        <f>IF(Y20&lt;94,"No","Yes")</f>
        <v>No</v>
      </c>
      <c r="AA20" s="45" t="s">
        <v>17</v>
      </c>
    </row>
    <row r="21" spans="1:27" ht="36" x14ac:dyDescent="0.15">
      <c r="A21" s="162"/>
      <c r="B21" s="30" t="s">
        <v>154</v>
      </c>
      <c r="C21" s="148"/>
      <c r="D21" s="148"/>
      <c r="E21" s="34" t="s">
        <v>239</v>
      </c>
      <c r="F21" s="34" t="s">
        <v>240</v>
      </c>
      <c r="G21" s="30">
        <v>2</v>
      </c>
      <c r="H21" s="30">
        <v>5</v>
      </c>
      <c r="I21" s="30">
        <v>5</v>
      </c>
      <c r="J21" s="30">
        <f>(I21+H21+G21)</f>
        <v>12</v>
      </c>
      <c r="K21" s="30" t="s">
        <v>155</v>
      </c>
      <c r="L21" s="38" t="s">
        <v>63</v>
      </c>
      <c r="M21" s="30">
        <v>4</v>
      </c>
      <c r="N21" s="30">
        <v>4</v>
      </c>
      <c r="O21" s="30">
        <f>J20*M21*N21</f>
        <v>192</v>
      </c>
      <c r="P21" s="31" t="str">
        <f t="shared" si="0"/>
        <v>High</v>
      </c>
      <c r="Q21" s="35"/>
      <c r="R21" s="30" t="str">
        <f t="shared" si="1"/>
        <v>No</v>
      </c>
      <c r="S21" s="30" t="str">
        <f t="shared" si="2"/>
        <v>Mitigate</v>
      </c>
      <c r="T21" s="30" t="s">
        <v>313</v>
      </c>
      <c r="U21" s="30" t="s">
        <v>310</v>
      </c>
      <c r="V21" s="30" t="s">
        <v>79</v>
      </c>
      <c r="W21" s="30">
        <v>4</v>
      </c>
      <c r="X21" s="30">
        <v>1</v>
      </c>
      <c r="Y21" s="30">
        <f>J20*W21*X21</f>
        <v>48</v>
      </c>
      <c r="Z21" s="30" t="str">
        <f>IF(Y21&lt;94,"No","Yes")</f>
        <v>No</v>
      </c>
      <c r="AA21" s="45" t="s">
        <v>17</v>
      </c>
    </row>
    <row r="22" spans="1:27" ht="24" x14ac:dyDescent="0.15">
      <c r="A22" s="162">
        <v>8</v>
      </c>
      <c r="B22" s="30" t="s">
        <v>160</v>
      </c>
      <c r="C22" s="162" t="s">
        <v>242</v>
      </c>
      <c r="D22" s="147" t="s">
        <v>241</v>
      </c>
      <c r="E22" s="34" t="s">
        <v>239</v>
      </c>
      <c r="F22" s="34" t="s">
        <v>240</v>
      </c>
      <c r="G22" s="30">
        <v>2</v>
      </c>
      <c r="H22" s="30">
        <v>4</v>
      </c>
      <c r="I22" s="30">
        <v>5</v>
      </c>
      <c r="J22" s="30">
        <f>(I22+H22+G22)</f>
        <v>11</v>
      </c>
      <c r="K22" s="30" t="s">
        <v>62</v>
      </c>
      <c r="L22" s="38" t="s">
        <v>60</v>
      </c>
      <c r="M22" s="30">
        <v>4</v>
      </c>
      <c r="N22" s="30">
        <v>2</v>
      </c>
      <c r="O22" s="30">
        <f>J22*M22*N22</f>
        <v>88</v>
      </c>
      <c r="P22" s="31" t="str">
        <f t="shared" si="0"/>
        <v>Low</v>
      </c>
      <c r="Q22" s="35" t="s">
        <v>729</v>
      </c>
      <c r="R22" s="30" t="str">
        <f t="shared" si="1"/>
        <v>Yes</v>
      </c>
      <c r="S22" s="30" t="str">
        <f t="shared" si="2"/>
        <v>Accept</v>
      </c>
      <c r="T22" s="30" t="s">
        <v>17</v>
      </c>
      <c r="U22" s="30" t="s">
        <v>241</v>
      </c>
      <c r="V22" s="30" t="s">
        <v>79</v>
      </c>
      <c r="W22" s="30" t="s">
        <v>241</v>
      </c>
      <c r="X22" s="30" t="s">
        <v>241</v>
      </c>
      <c r="Y22" s="30" t="s">
        <v>241</v>
      </c>
      <c r="Z22" s="30" t="s">
        <v>241</v>
      </c>
      <c r="AA22" s="30" t="s">
        <v>241</v>
      </c>
    </row>
    <row r="23" spans="1:27" ht="48" x14ac:dyDescent="0.15">
      <c r="A23" s="162"/>
      <c r="B23" s="30" t="s">
        <v>160</v>
      </c>
      <c r="C23" s="162"/>
      <c r="D23" s="164"/>
      <c r="E23" s="34" t="s">
        <v>239</v>
      </c>
      <c r="F23" s="34" t="s">
        <v>240</v>
      </c>
      <c r="G23" s="30">
        <v>2</v>
      </c>
      <c r="H23" s="30">
        <v>4</v>
      </c>
      <c r="I23" s="30">
        <v>5</v>
      </c>
      <c r="J23" s="30">
        <f t="shared" ref="J23:J24" si="6">(I23+H23+G23)</f>
        <v>11</v>
      </c>
      <c r="K23" s="30" t="s">
        <v>59</v>
      </c>
      <c r="L23" s="38" t="s">
        <v>137</v>
      </c>
      <c r="M23" s="30">
        <v>4</v>
      </c>
      <c r="N23" s="30">
        <v>1</v>
      </c>
      <c r="O23" s="30">
        <f>J22*M23*N23</f>
        <v>44</v>
      </c>
      <c r="P23" s="31" t="str">
        <f t="shared" si="0"/>
        <v>Low</v>
      </c>
      <c r="Q23" s="35" t="s">
        <v>730</v>
      </c>
      <c r="R23" s="30" t="str">
        <f t="shared" si="1"/>
        <v>Yes</v>
      </c>
      <c r="S23" s="30" t="str">
        <f t="shared" si="2"/>
        <v>Accept</v>
      </c>
      <c r="T23" s="30" t="s">
        <v>17</v>
      </c>
      <c r="U23" s="30" t="s">
        <v>241</v>
      </c>
      <c r="V23" s="30" t="s">
        <v>79</v>
      </c>
      <c r="W23" s="30" t="s">
        <v>241</v>
      </c>
      <c r="X23" s="30" t="s">
        <v>241</v>
      </c>
      <c r="Y23" s="30" t="s">
        <v>241</v>
      </c>
      <c r="Z23" s="30" t="s">
        <v>241</v>
      </c>
      <c r="AA23" s="30" t="s">
        <v>241</v>
      </c>
    </row>
    <row r="24" spans="1:27" ht="36" x14ac:dyDescent="0.15">
      <c r="A24" s="162"/>
      <c r="B24" s="30" t="s">
        <v>160</v>
      </c>
      <c r="C24" s="162"/>
      <c r="D24" s="148"/>
      <c r="E24" s="34" t="s">
        <v>239</v>
      </c>
      <c r="F24" s="34" t="s">
        <v>240</v>
      </c>
      <c r="G24" s="30">
        <v>2</v>
      </c>
      <c r="H24" s="30">
        <v>4</v>
      </c>
      <c r="I24" s="30">
        <v>5</v>
      </c>
      <c r="J24" s="30">
        <f t="shared" si="6"/>
        <v>11</v>
      </c>
      <c r="K24" s="30" t="s">
        <v>59</v>
      </c>
      <c r="L24" s="38" t="s">
        <v>161</v>
      </c>
      <c r="M24" s="30">
        <v>4</v>
      </c>
      <c r="N24" s="30">
        <v>3</v>
      </c>
      <c r="O24" s="30">
        <f>J22*M24*N24</f>
        <v>132</v>
      </c>
      <c r="P24" s="31" t="str">
        <f t="shared" si="0"/>
        <v>Medium</v>
      </c>
      <c r="Q24" s="35" t="s">
        <v>731</v>
      </c>
      <c r="R24" s="30" t="str">
        <f t="shared" si="1"/>
        <v>No</v>
      </c>
      <c r="S24" s="30" t="str">
        <f t="shared" si="2"/>
        <v>Mitigate</v>
      </c>
      <c r="T24" s="30" t="s">
        <v>313</v>
      </c>
      <c r="U24" s="30" t="s">
        <v>310</v>
      </c>
      <c r="V24" s="30" t="s">
        <v>79</v>
      </c>
      <c r="W24" s="30">
        <v>4</v>
      </c>
      <c r="X24" s="30">
        <v>1</v>
      </c>
      <c r="Y24" s="30">
        <f>J22*W24*X24</f>
        <v>44</v>
      </c>
      <c r="Z24" s="30" t="str">
        <f>IF(Y24&lt;94,"No","Yes")</f>
        <v>No</v>
      </c>
      <c r="AA24" s="45" t="s">
        <v>17</v>
      </c>
    </row>
    <row r="25" spans="1:27" x14ac:dyDescent="0.15">
      <c r="A25" s="162">
        <v>9</v>
      </c>
      <c r="B25" s="30" t="s">
        <v>162</v>
      </c>
      <c r="C25" s="147" t="s">
        <v>242</v>
      </c>
      <c r="D25" s="147" t="s">
        <v>241</v>
      </c>
      <c r="E25" s="147" t="s">
        <v>239</v>
      </c>
      <c r="F25" s="34" t="s">
        <v>240</v>
      </c>
      <c r="G25" s="30">
        <v>2</v>
      </c>
      <c r="H25" s="30">
        <v>4</v>
      </c>
      <c r="I25" s="30">
        <v>4</v>
      </c>
      <c r="J25" s="30">
        <f>(I25+H25+G25)</f>
        <v>10</v>
      </c>
      <c r="K25" s="30" t="s">
        <v>62</v>
      </c>
      <c r="L25" s="32" t="s">
        <v>63</v>
      </c>
      <c r="M25" s="30">
        <v>4</v>
      </c>
      <c r="N25" s="30">
        <v>2</v>
      </c>
      <c r="O25" s="30">
        <f>J25*M25*N25</f>
        <v>80</v>
      </c>
      <c r="P25" s="31" t="str">
        <f t="shared" si="0"/>
        <v>Low</v>
      </c>
      <c r="Q25" s="35" t="s">
        <v>64</v>
      </c>
      <c r="R25" s="30" t="str">
        <f t="shared" si="1"/>
        <v>Yes</v>
      </c>
      <c r="S25" s="30" t="str">
        <f t="shared" si="2"/>
        <v>Accept</v>
      </c>
      <c r="T25" s="30" t="s">
        <v>17</v>
      </c>
      <c r="U25" s="30" t="s">
        <v>241</v>
      </c>
      <c r="V25" s="30" t="s">
        <v>79</v>
      </c>
      <c r="W25" s="30" t="s">
        <v>241</v>
      </c>
      <c r="X25" s="30" t="s">
        <v>241</v>
      </c>
      <c r="Y25" s="30" t="s">
        <v>241</v>
      </c>
      <c r="Z25" s="30" t="s">
        <v>241</v>
      </c>
      <c r="AA25" s="30" t="s">
        <v>241</v>
      </c>
    </row>
    <row r="26" spans="1:27" ht="48" x14ac:dyDescent="0.15">
      <c r="A26" s="162"/>
      <c r="B26" s="30" t="s">
        <v>162</v>
      </c>
      <c r="C26" s="148"/>
      <c r="D26" s="148"/>
      <c r="E26" s="148"/>
      <c r="F26" s="34" t="s">
        <v>240</v>
      </c>
      <c r="G26" s="30">
        <v>2</v>
      </c>
      <c r="H26" s="30">
        <v>4</v>
      </c>
      <c r="I26" s="30">
        <v>4</v>
      </c>
      <c r="J26" s="30">
        <f>(I26+H26+G26)</f>
        <v>10</v>
      </c>
      <c r="K26" s="30" t="s">
        <v>59</v>
      </c>
      <c r="L26" s="32" t="s">
        <v>61</v>
      </c>
      <c r="M26" s="30">
        <v>4</v>
      </c>
      <c r="N26" s="30">
        <v>2</v>
      </c>
      <c r="O26" s="30">
        <f>J25*M26*N26</f>
        <v>80</v>
      </c>
      <c r="P26" s="31" t="str">
        <f t="shared" si="0"/>
        <v>Low</v>
      </c>
      <c r="Q26" s="35" t="s">
        <v>730</v>
      </c>
      <c r="R26" s="30" t="str">
        <f t="shared" si="1"/>
        <v>Yes</v>
      </c>
      <c r="S26" s="30" t="str">
        <f t="shared" si="2"/>
        <v>Accept</v>
      </c>
      <c r="T26" s="30" t="s">
        <v>17</v>
      </c>
      <c r="U26" s="30" t="s">
        <v>241</v>
      </c>
      <c r="V26" s="30" t="s">
        <v>79</v>
      </c>
      <c r="W26" s="30" t="s">
        <v>241</v>
      </c>
      <c r="X26" s="30" t="s">
        <v>241</v>
      </c>
      <c r="Y26" s="30" t="s">
        <v>241</v>
      </c>
      <c r="Z26" s="30" t="s">
        <v>241</v>
      </c>
      <c r="AA26" s="30" t="s">
        <v>241</v>
      </c>
    </row>
    <row r="27" spans="1:27" x14ac:dyDescent="0.15">
      <c r="C27" s="13"/>
      <c r="D27" s="13"/>
      <c r="E27" s="13"/>
      <c r="F27" s="13"/>
      <c r="P27" s="7"/>
    </row>
    <row r="28" spans="1:27" x14ac:dyDescent="0.15">
      <c r="B28" s="14"/>
      <c r="C28" s="13"/>
      <c r="D28" s="13"/>
      <c r="E28" s="13"/>
      <c r="F28" s="13"/>
      <c r="P28" s="7"/>
    </row>
    <row r="29" spans="1:27" x14ac:dyDescent="0.15">
      <c r="B29" s="14"/>
      <c r="C29" s="13"/>
      <c r="D29" s="13"/>
      <c r="E29" s="13"/>
      <c r="F29" s="13"/>
      <c r="P29" s="7"/>
    </row>
    <row r="30" spans="1:27" x14ac:dyDescent="0.15">
      <c r="B30" s="15"/>
      <c r="C30" s="13"/>
      <c r="D30" s="13"/>
      <c r="E30" s="13"/>
      <c r="F30" s="13"/>
      <c r="P30" s="7"/>
    </row>
    <row r="31" spans="1:27" x14ac:dyDescent="0.15">
      <c r="B31" s="15"/>
      <c r="C31" s="13"/>
      <c r="D31" s="13"/>
      <c r="E31" s="13"/>
      <c r="F31" s="13"/>
      <c r="P31" s="7"/>
    </row>
    <row r="32" spans="1:27" x14ac:dyDescent="0.15">
      <c r="B32" s="15"/>
      <c r="C32" s="13"/>
      <c r="D32" s="13"/>
      <c r="E32" s="13"/>
      <c r="F32" s="13"/>
      <c r="P32" s="7"/>
    </row>
    <row r="33" spans="2:16" ht="15" customHeight="1" x14ac:dyDescent="0.15">
      <c r="B33" s="14"/>
      <c r="C33" s="13"/>
      <c r="D33" s="13"/>
      <c r="E33" s="13"/>
      <c r="F33" s="13"/>
      <c r="P33" s="7"/>
    </row>
    <row r="34" spans="2:16" x14ac:dyDescent="0.15">
      <c r="B34" s="14"/>
      <c r="C34" s="13"/>
      <c r="D34" s="13"/>
      <c r="E34" s="13"/>
      <c r="F34" s="13"/>
      <c r="P34" s="7"/>
    </row>
    <row r="35" spans="2:16" x14ac:dyDescent="0.15">
      <c r="B35" s="15"/>
      <c r="C35" s="13"/>
      <c r="D35" s="13"/>
      <c r="E35" s="13"/>
      <c r="F35" s="13"/>
      <c r="P35" s="7"/>
    </row>
    <row r="36" spans="2:16" x14ac:dyDescent="0.15">
      <c r="B36" s="15"/>
      <c r="C36" s="13"/>
      <c r="D36" s="13"/>
      <c r="E36" s="13"/>
      <c r="F36" s="13"/>
      <c r="P36" s="7"/>
    </row>
    <row r="37" spans="2:16" x14ac:dyDescent="0.15">
      <c r="B37" s="15"/>
      <c r="C37" s="13"/>
      <c r="D37" s="13"/>
      <c r="E37" s="13"/>
      <c r="F37" s="13"/>
      <c r="P37" s="7"/>
    </row>
    <row r="38" spans="2:16" x14ac:dyDescent="0.15">
      <c r="B38" s="15"/>
      <c r="C38" s="16"/>
      <c r="D38" s="16"/>
      <c r="E38" s="16"/>
      <c r="F38" s="16"/>
      <c r="P38" s="7"/>
    </row>
    <row r="39" spans="2:16" x14ac:dyDescent="0.15">
      <c r="B39" s="15"/>
      <c r="C39" s="16"/>
      <c r="D39" s="16"/>
      <c r="E39" s="16"/>
      <c r="F39" s="16"/>
      <c r="P39" s="7"/>
    </row>
    <row r="40" spans="2:16" x14ac:dyDescent="0.15">
      <c r="B40" s="15"/>
      <c r="C40" s="16"/>
      <c r="D40" s="16"/>
      <c r="E40" s="16"/>
      <c r="F40" s="16"/>
      <c r="P40" s="7"/>
    </row>
    <row r="41" spans="2:16" x14ac:dyDescent="0.15">
      <c r="B41" s="15"/>
      <c r="C41" s="16"/>
      <c r="D41" s="16"/>
      <c r="E41" s="16"/>
      <c r="F41" s="16"/>
      <c r="P41" s="7"/>
    </row>
    <row r="42" spans="2:16" x14ac:dyDescent="0.15">
      <c r="B42" s="15"/>
      <c r="C42" s="16"/>
      <c r="D42" s="16"/>
      <c r="E42" s="16"/>
      <c r="F42" s="16"/>
      <c r="P42" s="7"/>
    </row>
    <row r="43" spans="2:16" x14ac:dyDescent="0.15">
      <c r="B43" s="17"/>
      <c r="C43" s="16"/>
      <c r="D43" s="16"/>
      <c r="E43" s="16"/>
      <c r="F43" s="16"/>
      <c r="P43" s="7"/>
    </row>
  </sheetData>
  <autoFilter ref="A3:AA26" xr:uid="{C1DD04ED-8360-45D4-BBCA-4C850786C8E2}"/>
  <mergeCells count="37">
    <mergeCell ref="Z1:AA1"/>
    <mergeCell ref="W1:Y1"/>
    <mergeCell ref="A1:J1"/>
    <mergeCell ref="K1:P1"/>
    <mergeCell ref="R1:U1"/>
    <mergeCell ref="A25:A26"/>
    <mergeCell ref="C25:C26"/>
    <mergeCell ref="D25:D26"/>
    <mergeCell ref="E25:E26"/>
    <mergeCell ref="Q10:Q11"/>
    <mergeCell ref="A12:A15"/>
    <mergeCell ref="C12:C15"/>
    <mergeCell ref="B10:B11"/>
    <mergeCell ref="D12:D15"/>
    <mergeCell ref="A16:A19"/>
    <mergeCell ref="C16:C19"/>
    <mergeCell ref="D16:D19"/>
    <mergeCell ref="A22:A24"/>
    <mergeCell ref="C22:C24"/>
    <mergeCell ref="A20:A21"/>
    <mergeCell ref="C20:C21"/>
    <mergeCell ref="D22:D24"/>
    <mergeCell ref="D20:D21"/>
    <mergeCell ref="C10:C11"/>
    <mergeCell ref="A10:A11"/>
    <mergeCell ref="T2:U2"/>
    <mergeCell ref="D10:D11"/>
    <mergeCell ref="K12:K14"/>
    <mergeCell ref="A2:A3"/>
    <mergeCell ref="B2:B3"/>
    <mergeCell ref="G2:I2"/>
    <mergeCell ref="J2:J3"/>
    <mergeCell ref="K2:O2"/>
    <mergeCell ref="P2:P3"/>
    <mergeCell ref="A4:A7"/>
    <mergeCell ref="C4:C7"/>
    <mergeCell ref="D4:D7"/>
  </mergeCells>
  <conditionalFormatting sqref="O4:O24 Y4:Y7 Y22:Y23 Y25:Y26">
    <cfRule type="cellIs" dxfId="25" priority="26" operator="between">
      <formula>99</formula>
      <formula>144</formula>
    </cfRule>
  </conditionalFormatting>
  <conditionalFormatting sqref="O4:O26">
    <cfRule type="cellIs" dxfId="24" priority="24" operator="between">
      <formula>1</formula>
      <formula>94</formula>
    </cfRule>
    <cfRule type="cellIs" dxfId="23" priority="23" operator="between">
      <formula>95</formula>
      <formula>188</formula>
    </cfRule>
    <cfRule type="cellIs" dxfId="22" priority="22" operator="between">
      <formula>189</formula>
      <formula>282</formula>
    </cfRule>
    <cfRule type="cellIs" dxfId="21" priority="21" operator="between">
      <formula>283</formula>
      <formula>372</formula>
    </cfRule>
  </conditionalFormatting>
  <conditionalFormatting sqref="O27:O43 Y27:Y43">
    <cfRule type="cellIs" dxfId="20" priority="32" operator="between">
      <formula>1</formula>
      <formula>48</formula>
    </cfRule>
    <cfRule type="cellIs" dxfId="19" priority="31" operator="between">
      <formula>49</formula>
      <formula>98</formula>
    </cfRule>
    <cfRule type="cellIs" dxfId="18" priority="30" operator="between">
      <formula>99</formula>
      <formula>144</formula>
    </cfRule>
    <cfRule type="cellIs" dxfId="17" priority="29" operator="between">
      <formula>145</formula>
      <formula>192</formula>
    </cfRule>
  </conditionalFormatting>
  <conditionalFormatting sqref="Y4:Y7 O4:O24 Y22:Y23 Y25:Y26">
    <cfRule type="cellIs" dxfId="16" priority="28" operator="between">
      <formula>1</formula>
      <formula>48</formula>
    </cfRule>
    <cfRule type="cellIs" dxfId="15" priority="27" operator="between">
      <formula>49</formula>
      <formula>98</formula>
    </cfRule>
    <cfRule type="cellIs" priority="25" operator="between">
      <formula>145</formula>
      <formula>192</formula>
    </cfRule>
  </conditionalFormatting>
  <conditionalFormatting sqref="Y8:Y9">
    <cfRule type="cellIs" dxfId="14" priority="15" operator="between">
      <formula>95</formula>
      <formula>188</formula>
    </cfRule>
    <cfRule type="cellIs" dxfId="13" priority="14" operator="between">
      <formula>189</formula>
      <formula>282</formula>
    </cfRule>
    <cfRule type="cellIs" dxfId="12" priority="13" operator="between">
      <formula>283</formula>
      <formula>372</formula>
    </cfRule>
    <cfRule type="cellIs" dxfId="11" priority="16" operator="between">
      <formula>1</formula>
      <formula>94</formula>
    </cfRule>
  </conditionalFormatting>
  <conditionalFormatting sqref="Y10:Y19">
    <cfRule type="cellIs" dxfId="10" priority="4" operator="between">
      <formula>1</formula>
      <formula>48</formula>
    </cfRule>
    <cfRule type="cellIs" dxfId="9" priority="3" operator="between">
      <formula>49</formula>
      <formula>98</formula>
    </cfRule>
    <cfRule type="cellIs" dxfId="8" priority="2" operator="between">
      <formula>99</formula>
      <formula>144</formula>
    </cfRule>
    <cfRule type="cellIs" priority="1" operator="between">
      <formula>145</formula>
      <formula>192</formula>
    </cfRule>
  </conditionalFormatting>
  <conditionalFormatting sqref="Y20:Y21">
    <cfRule type="cellIs" dxfId="7" priority="12" operator="between">
      <formula>1</formula>
      <formula>94</formula>
    </cfRule>
    <cfRule type="cellIs" dxfId="6" priority="11" operator="between">
      <formula>95</formula>
      <formula>188</formula>
    </cfRule>
    <cfRule type="cellIs" dxfId="5" priority="10" operator="between">
      <formula>189</formula>
      <formula>282</formula>
    </cfRule>
    <cfRule type="cellIs" dxfId="4" priority="9" operator="between">
      <formula>283</formula>
      <formula>372</formula>
    </cfRule>
  </conditionalFormatting>
  <conditionalFormatting sqref="Y24">
    <cfRule type="cellIs" dxfId="3" priority="8" operator="between">
      <formula>1</formula>
      <formula>94</formula>
    </cfRule>
    <cfRule type="cellIs" dxfId="2" priority="7" operator="between">
      <formula>95</formula>
      <formula>188</formula>
    </cfRule>
    <cfRule type="cellIs" dxfId="1" priority="6" operator="between">
      <formula>189</formula>
      <formula>282</formula>
    </cfRule>
    <cfRule type="cellIs" dxfId="0" priority="5" operator="between">
      <formula>283</formula>
      <formula>372</formula>
    </cfRule>
  </conditionalFormatting>
  <dataValidations count="1">
    <dataValidation type="list" allowBlank="1" showInputMessage="1" showErrorMessage="1" sqref="C27:F37" xr:uid="{FA3F54E3-C3D4-4570-9899-84EA2E69074A}">
      <formula1>soft_typ</formula1>
    </dataValidation>
  </dataValidations>
  <pageMargins left="0.75" right="0.75" top="1" bottom="1" header="0.5" footer="0.5"/>
  <pageSetup orientation="portrait" verticalDpi="1200" r:id="rId1"/>
  <headerFooter alignWithMargins="0"/>
  <ignoredErrors>
    <ignoredError sqref="O21"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28996-2662-4782-836A-69E2DCD9688C}">
  <sheetPr codeName="Sheet9"/>
  <dimension ref="A1:H14"/>
  <sheetViews>
    <sheetView workbookViewId="0">
      <selection activeCell="A14" sqref="A14:H14"/>
    </sheetView>
  </sheetViews>
  <sheetFormatPr baseColWidth="10" defaultColWidth="8.83203125" defaultRowHeight="13" x14ac:dyDescent="0.15"/>
  <cols>
    <col min="1" max="1" width="9.1640625" customWidth="1"/>
    <col min="2" max="2" width="42.33203125" customWidth="1"/>
    <col min="3" max="3" width="16.1640625" bestFit="1" customWidth="1"/>
    <col min="4" max="4" width="18.6640625" customWidth="1"/>
    <col min="5" max="5" width="16.5" bestFit="1" customWidth="1"/>
    <col min="6" max="8" width="12.5" bestFit="1" customWidth="1"/>
  </cols>
  <sheetData>
    <row r="1" spans="1:8" ht="32" x14ac:dyDescent="0.15">
      <c r="A1" s="11" t="s">
        <v>36</v>
      </c>
      <c r="B1" s="11" t="s">
        <v>40</v>
      </c>
      <c r="C1" s="11" t="s">
        <v>41</v>
      </c>
      <c r="D1" s="11" t="s">
        <v>37</v>
      </c>
      <c r="E1" s="11" t="s">
        <v>42</v>
      </c>
      <c r="F1" s="12" t="s">
        <v>43</v>
      </c>
      <c r="G1" s="11" t="s">
        <v>43</v>
      </c>
      <c r="H1" s="11" t="s">
        <v>43</v>
      </c>
    </row>
    <row r="2" spans="1:8" ht="30" x14ac:dyDescent="0.2">
      <c r="A2" s="68" t="s">
        <v>44</v>
      </c>
      <c r="B2" s="69" t="s">
        <v>85</v>
      </c>
      <c r="C2" s="70" t="s">
        <v>804</v>
      </c>
      <c r="D2" s="71" t="s">
        <v>243</v>
      </c>
      <c r="E2" s="18"/>
      <c r="F2" s="18"/>
      <c r="G2" s="18"/>
      <c r="H2" s="18"/>
    </row>
    <row r="3" spans="1:8" ht="30" x14ac:dyDescent="0.15">
      <c r="A3" s="68" t="s">
        <v>45</v>
      </c>
      <c r="B3" s="72" t="s">
        <v>99</v>
      </c>
      <c r="C3" s="70" t="s">
        <v>789</v>
      </c>
      <c r="D3" s="71" t="s">
        <v>317</v>
      </c>
      <c r="E3" s="18"/>
      <c r="F3" s="18"/>
      <c r="G3" s="18"/>
      <c r="H3" s="18"/>
    </row>
    <row r="4" spans="1:8" ht="30" x14ac:dyDescent="0.15">
      <c r="A4" s="68" t="s">
        <v>56</v>
      </c>
      <c r="B4" s="72" t="s">
        <v>672</v>
      </c>
      <c r="C4" s="70" t="s">
        <v>790</v>
      </c>
      <c r="D4" s="71" t="s">
        <v>243</v>
      </c>
      <c r="E4" s="18"/>
      <c r="F4" s="18"/>
      <c r="G4" s="18"/>
      <c r="H4" s="18"/>
    </row>
    <row r="5" spans="1:8" ht="30" x14ac:dyDescent="0.15">
      <c r="A5" s="68" t="s">
        <v>124</v>
      </c>
      <c r="B5" s="72" t="s">
        <v>675</v>
      </c>
      <c r="C5" s="70" t="s">
        <v>791</v>
      </c>
      <c r="D5" s="71" t="s">
        <v>243</v>
      </c>
      <c r="E5" s="18"/>
      <c r="F5" s="18"/>
      <c r="G5" s="18"/>
      <c r="H5" s="18"/>
    </row>
    <row r="6" spans="1:8" ht="30" x14ac:dyDescent="0.15">
      <c r="A6" s="68" t="s">
        <v>127</v>
      </c>
      <c r="B6" s="72" t="s">
        <v>130</v>
      </c>
      <c r="C6" s="70" t="s">
        <v>791</v>
      </c>
      <c r="D6" s="71" t="s">
        <v>244</v>
      </c>
      <c r="E6" s="18"/>
      <c r="F6" s="18"/>
      <c r="G6" s="18"/>
      <c r="H6" s="18"/>
    </row>
    <row r="7" spans="1:8" ht="30" x14ac:dyDescent="0.15">
      <c r="A7" s="68" t="s">
        <v>129</v>
      </c>
      <c r="B7" s="72" t="s">
        <v>683</v>
      </c>
      <c r="C7" s="70" t="s">
        <v>792</v>
      </c>
      <c r="D7" s="71" t="s">
        <v>318</v>
      </c>
      <c r="E7" s="18"/>
      <c r="F7" s="18"/>
      <c r="G7" s="18"/>
      <c r="H7" s="18"/>
    </row>
    <row r="8" spans="1:8" ht="30" x14ac:dyDescent="0.15">
      <c r="A8" s="68" t="s">
        <v>133</v>
      </c>
      <c r="B8" s="72" t="s">
        <v>144</v>
      </c>
      <c r="C8" s="70" t="s">
        <v>793</v>
      </c>
      <c r="D8" s="71" t="s">
        <v>317</v>
      </c>
      <c r="E8" s="18"/>
      <c r="F8" s="18"/>
      <c r="G8" s="18"/>
      <c r="H8" s="18"/>
    </row>
    <row r="9" spans="1:8" ht="15" x14ac:dyDescent="0.15">
      <c r="A9" s="68" t="s">
        <v>143</v>
      </c>
      <c r="B9" s="72" t="s">
        <v>232</v>
      </c>
      <c r="C9" s="70" t="s">
        <v>792</v>
      </c>
      <c r="D9" s="71" t="s">
        <v>318</v>
      </c>
      <c r="E9" s="18"/>
      <c r="F9" s="18"/>
      <c r="G9" s="18"/>
      <c r="H9" s="18"/>
    </row>
    <row r="10" spans="1:8" ht="15" x14ac:dyDescent="0.15">
      <c r="A10" s="68" t="s">
        <v>158</v>
      </c>
      <c r="B10" s="72" t="s">
        <v>159</v>
      </c>
      <c r="C10" s="70" t="s">
        <v>792</v>
      </c>
      <c r="D10" s="71" t="s">
        <v>318</v>
      </c>
      <c r="E10" s="18"/>
      <c r="F10" s="18"/>
      <c r="G10" s="18"/>
      <c r="H10" s="18"/>
    </row>
    <row r="11" spans="1:8" ht="30" x14ac:dyDescent="0.15">
      <c r="A11" s="68" t="s">
        <v>164</v>
      </c>
      <c r="B11" s="72" t="s">
        <v>231</v>
      </c>
      <c r="C11" s="70" t="s">
        <v>794</v>
      </c>
      <c r="D11" s="71" t="s">
        <v>317</v>
      </c>
      <c r="E11" s="18"/>
      <c r="F11" s="18"/>
      <c r="G11" s="18"/>
      <c r="H11" s="18"/>
    </row>
    <row r="12" spans="1:8" ht="30" x14ac:dyDescent="0.15">
      <c r="A12" s="68" t="s">
        <v>230</v>
      </c>
      <c r="B12" s="72" t="s">
        <v>787</v>
      </c>
      <c r="C12" s="70" t="s">
        <v>788</v>
      </c>
      <c r="D12" s="71" t="s">
        <v>243</v>
      </c>
      <c r="E12" s="18"/>
      <c r="F12" s="18"/>
      <c r="G12" s="18"/>
      <c r="H12" s="18"/>
    </row>
    <row r="13" spans="1:8" ht="30" x14ac:dyDescent="0.15">
      <c r="A13" s="68" t="s">
        <v>786</v>
      </c>
      <c r="B13" s="72" t="s">
        <v>821</v>
      </c>
      <c r="C13" s="70" t="s">
        <v>822</v>
      </c>
      <c r="D13" s="71" t="s">
        <v>823</v>
      </c>
      <c r="E13" s="18"/>
      <c r="F13" s="18"/>
      <c r="G13" s="18"/>
      <c r="H13" s="18"/>
    </row>
    <row r="14" spans="1:8" ht="45" x14ac:dyDescent="0.15">
      <c r="A14" s="68" t="s">
        <v>831</v>
      </c>
      <c r="B14" s="72" t="s">
        <v>830</v>
      </c>
      <c r="C14" s="70" t="s">
        <v>832</v>
      </c>
      <c r="D14" s="71" t="s">
        <v>317</v>
      </c>
      <c r="E14" s="109"/>
      <c r="F14" s="109"/>
      <c r="G14" s="109"/>
      <c r="H14" s="109"/>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92CEF-B5C8-4815-A644-0CAC1251561A}">
  <sheetPr codeName="Sheet10"/>
  <dimension ref="A1:M22"/>
  <sheetViews>
    <sheetView workbookViewId="0">
      <selection activeCell="B4" sqref="B4"/>
    </sheetView>
  </sheetViews>
  <sheetFormatPr baseColWidth="10" defaultColWidth="9.1640625" defaultRowHeight="13" x14ac:dyDescent="0.15"/>
  <cols>
    <col min="1" max="1" width="6.5" style="1" customWidth="1"/>
    <col min="2" max="3" width="33.33203125" style="1" customWidth="1"/>
    <col min="4" max="4" width="33.5" style="1" customWidth="1"/>
    <col min="5" max="16384" width="9.1640625" style="1"/>
  </cols>
  <sheetData>
    <row r="1" spans="1:13" ht="14" thickBot="1" x14ac:dyDescent="0.2">
      <c r="A1" s="243" t="s">
        <v>10</v>
      </c>
      <c r="B1" s="243"/>
      <c r="C1" s="243"/>
      <c r="D1" s="243"/>
      <c r="E1" s="243"/>
      <c r="F1" s="243"/>
      <c r="G1" s="243"/>
      <c r="H1" s="243"/>
      <c r="I1" s="243"/>
      <c r="J1" s="243"/>
      <c r="K1" s="243"/>
      <c r="L1" s="243"/>
      <c r="M1" s="243"/>
    </row>
    <row r="2" spans="1:13" x14ac:dyDescent="0.15">
      <c r="A2" s="244" t="s">
        <v>0</v>
      </c>
      <c r="B2" s="246" t="s">
        <v>14</v>
      </c>
      <c r="C2" s="254" t="s">
        <v>15</v>
      </c>
      <c r="D2" s="246" t="s">
        <v>2</v>
      </c>
      <c r="E2" s="246" t="s">
        <v>3</v>
      </c>
      <c r="F2" s="246" t="s">
        <v>4</v>
      </c>
      <c r="G2" s="246"/>
      <c r="H2" s="246"/>
      <c r="I2" s="246"/>
      <c r="J2" s="246"/>
      <c r="K2" s="246"/>
      <c r="L2" s="248" t="s">
        <v>5</v>
      </c>
      <c r="M2" s="250" t="s">
        <v>6</v>
      </c>
    </row>
    <row r="3" spans="1:13" ht="22.5" customHeight="1" x14ac:dyDescent="0.15">
      <c r="A3" s="245"/>
      <c r="B3" s="247"/>
      <c r="C3" s="255"/>
      <c r="D3" s="247"/>
      <c r="E3" s="247"/>
      <c r="F3" s="252" t="s">
        <v>7</v>
      </c>
      <c r="G3" s="253"/>
      <c r="H3" s="252" t="s">
        <v>8</v>
      </c>
      <c r="I3" s="253"/>
      <c r="J3" s="252" t="s">
        <v>9</v>
      </c>
      <c r="K3" s="253"/>
      <c r="L3" s="249"/>
      <c r="M3" s="251"/>
    </row>
    <row r="4" spans="1:13" ht="26.25" customHeight="1" x14ac:dyDescent="0.15">
      <c r="A4" s="1">
        <v>1</v>
      </c>
      <c r="B4" s="3" t="s">
        <v>11</v>
      </c>
      <c r="C4" s="2" t="s">
        <v>16</v>
      </c>
      <c r="D4" s="4" t="s">
        <v>12</v>
      </c>
      <c r="E4" s="1">
        <v>1</v>
      </c>
      <c r="F4" s="242">
        <v>1</v>
      </c>
      <c r="G4" s="242"/>
      <c r="H4" s="242">
        <v>1</v>
      </c>
      <c r="I4" s="242"/>
      <c r="J4" s="242">
        <v>3</v>
      </c>
      <c r="K4" s="242"/>
      <c r="L4" s="6">
        <f>(J4+H4+F4)/3</f>
        <v>1.6666666666666667</v>
      </c>
      <c r="M4" s="1" t="str">
        <f>IF(L4&lt;=1,"Low",IF(AND(L4&gt;1,L4&lt;=2),"Medium",IF(AND(L4&gt;2,L4&lt;=3),"High",IF(AND(L4&gt;3,L4&lt;=4),"Very High","Error"))))</f>
        <v>Medium</v>
      </c>
    </row>
    <row r="22" spans="2:3" ht="14" x14ac:dyDescent="0.15">
      <c r="B22" s="5"/>
      <c r="C22" s="5"/>
    </row>
  </sheetData>
  <mergeCells count="15">
    <mergeCell ref="F4:G4"/>
    <mergeCell ref="H4:I4"/>
    <mergeCell ref="J4:K4"/>
    <mergeCell ref="A1:M1"/>
    <mergeCell ref="A2:A3"/>
    <mergeCell ref="B2:B3"/>
    <mergeCell ref="D2:D3"/>
    <mergeCell ref="E2:E3"/>
    <mergeCell ref="F2:K2"/>
    <mergeCell ref="L2:L3"/>
    <mergeCell ref="M2:M3"/>
    <mergeCell ref="F3:G3"/>
    <mergeCell ref="H3:I3"/>
    <mergeCell ref="C2:C3"/>
    <mergeCell ref="J3:K3"/>
  </mergeCell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Cover Page</vt:lpstr>
      <vt:lpstr>INDEX</vt:lpstr>
      <vt:lpstr>Summary</vt:lpstr>
      <vt:lpstr>Asset register</vt:lpstr>
      <vt:lpstr>HR Asset</vt:lpstr>
      <vt:lpstr>IT Assets</vt:lpstr>
      <vt:lpstr>Software Assets</vt:lpstr>
      <vt:lpstr>Process (Service) Assets</vt:lpstr>
      <vt:lpstr>RTP</vt:lpstr>
      <vt:lpstr>Projector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MS Rajesh Kanna</dc:creator>
  <cp:lastModifiedBy>Ritika Tomar</cp:lastModifiedBy>
  <dcterms:created xsi:type="dcterms:W3CDTF">1996-10-14T23:33:28Z</dcterms:created>
  <dcterms:modified xsi:type="dcterms:W3CDTF">2026-10-09T11:07:20Z</dcterms:modified>
</cp:coreProperties>
</file>